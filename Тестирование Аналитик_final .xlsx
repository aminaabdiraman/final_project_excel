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60" activeTab="4"/>
  </bookViews>
  <sheets>
    <sheet name="Лист1" sheetId="1" r:id="rId1"/>
    <sheet name="Лист2" sheetId="2" r:id="rId2"/>
    <sheet name="1.1" sheetId="3" r:id="rId3"/>
    <sheet name="1.1a" sheetId="5" r:id="rId4"/>
    <sheet name="1.2" sheetId="6" r:id="rId5"/>
  </sheets>
  <definedNames>
    <definedName name="_xlnm._FilterDatabase" localSheetId="1" hidden="1">Лист2!$B$1:$B$505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<sst xmlns="http://schemas.openxmlformats.org/spreadsheetml/2006/main" count="1170" uniqueCount="33">
  <si>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</si>
  <si>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</si>
  <si>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</si>
  <si>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</si>
  <si>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</si>
  <si>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</si>
  <si>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</si>
  <si>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</si>
  <si>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</si>
  <si>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</si>
  <si>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</si>
  <si>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</si>
  <si>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</si>
  <si>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</si>
  <si>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</si>
  <si>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</si>
  <si>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</si>
  <si>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</si>
  <si>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</si>
  <si>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</si>
  <si>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</si>
  <si>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</si>
  <si>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</si>
  <si>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</si>
  <si>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</si>
  <si>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</si>
  <si>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</si>
  <si>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Сумма Товарооборот, руб</t>
  </si>
  <si>
    <t>Сумма Товарооборот на склад</t>
  </si>
  <si>
    <t>Общий итог</t>
  </si>
  <si>
    <t>Топ-3 территории по доле в общем товарообороте</t>
  </si>
  <si>
    <t>Топ-3 территории по товарообороту на склад за последнюю неделю</t>
  </si>
  <si>
    <t>Доля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</si>
</sst>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0.00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8" borderId="19" applyNumberFormat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16" fillId="9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40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2" borderId="10" xfId="0" applyFont="1" applyFill="1" applyBorder="1" applyAlignment="1"/>
    <xf numFmtId="10" fontId="1" fillId="2" borderId="10" xfId="0" applyNumberFormat="1" applyFont="1" applyFill="1" applyBorder="1" applyAlignment="1"/>
    <xf numFmtId="0" fontId="0" fillId="3" borderId="0" xfId="0" applyFont="1" applyFill="1" applyAlignment="1"/>
    <xf numFmtId="10" fontId="0" fillId="3" borderId="0" xfId="3" applyNumberFormat="1" applyFont="1" applyFill="1" applyAlignment="1"/>
    <xf numFmtId="0" fontId="0" fillId="3" borderId="0" xfId="0" applyFill="1" applyAlignment="1"/>
    <xf numFmtId="0" fontId="0" fillId="3" borderId="0" xfId="0" applyFill="1" applyBorder="1" applyAlignment="1"/>
    <xf numFmtId="10" fontId="0" fillId="0" borderId="0" xfId="3" applyNumberFormat="1" applyFont="1" applyAlignment="1"/>
    <xf numFmtId="0" fontId="0" fillId="0" borderId="0" xfId="0" applyAlignment="1"/>
    <xf numFmtId="0" fontId="0" fillId="0" borderId="0" xfId="0" applyBorder="1" applyAlignment="1"/>
    <xf numFmtId="0" fontId="0" fillId="0" borderId="10" xfId="0" applyBorder="1" applyAlignment="1"/>
    <xf numFmtId="9" fontId="1" fillId="2" borderId="10" xfId="3" applyFont="1" applyFill="1" applyBorder="1" applyAlignment="1"/>
    <xf numFmtId="0" fontId="1" fillId="2" borderId="10" xfId="0" applyNumberFormat="1" applyFont="1" applyFill="1" applyBorder="1" applyAlignment="1"/>
    <xf numFmtId="0" fontId="2" fillId="4" borderId="11" xfId="0" applyFont="1" applyFill="1" applyBorder="1" applyAlignment="1">
      <alignment vertical="center" wrapText="1"/>
    </xf>
    <xf numFmtId="178" fontId="3" fillId="0" borderId="0" xfId="0" applyNumberFormat="1" applyFont="1"/>
    <xf numFmtId="0" fontId="3" fillId="0" borderId="0" xfId="0" applyFont="1"/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178" fontId="3" fillId="5" borderId="12" xfId="0" applyNumberFormat="1" applyFont="1" applyFill="1" applyBorder="1"/>
    <xf numFmtId="0" fontId="3" fillId="5" borderId="13" xfId="0" applyFont="1" applyFill="1" applyBorder="1"/>
    <xf numFmtId="0" fontId="4" fillId="0" borderId="0" xfId="0" applyFont="1" applyFill="1" applyAlignment="1"/>
    <xf numFmtId="179" fontId="0" fillId="0" borderId="0" xfId="0" applyNumberFormat="1" applyFont="1" applyAlignment="1"/>
    <xf numFmtId="178" fontId="3" fillId="0" borderId="12" xfId="0" applyNumberFormat="1" applyFont="1" applyBorder="1"/>
    <xf numFmtId="0" fontId="3" fillId="0" borderId="13" xfId="0" applyFont="1" applyBorder="1"/>
    <xf numFmtId="0" fontId="3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178" fontId="3" fillId="0" borderId="14" xfId="0" applyNumberFormat="1" applyFont="1" applyBorder="1"/>
    <xf numFmtId="0" fontId="3" fillId="0" borderId="1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.xlsx]1.2!Сводная 
таблица7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Понедельная динамика товарооборота и товарооборота на склад</a:t>
            </a:r>
          </a:p>
          <a:p>
            <a:pPr defTabSz="914400"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'1.2'!$B$1</c:f>
              <c:strCache>
                <c:ptCount val="1"/>
                <c:pt idx="0">
                  <c:v>Сумма Товарооборот на склад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'1.2'!$A$2:$A$8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'1.2'!$B$2:$B$8</c:f>
              <c:numCache>
                <c:formatCode>General</c:formatCode>
                <c:ptCount val="6"/>
                <c:pt idx="0">
                  <c:v>15050189.4844213</c:v>
                </c:pt>
                <c:pt idx="1">
                  <c:v>17810866.5037846</c:v>
                </c:pt>
                <c:pt idx="2">
                  <c:v>17504431.2544996</c:v>
                </c:pt>
                <c:pt idx="3">
                  <c:v>18752594.736983</c:v>
                </c:pt>
                <c:pt idx="4">
                  <c:v>20458986.9163627</c:v>
                </c:pt>
                <c:pt idx="5">
                  <c:v>2786041.43567661</c:v>
                </c:pt>
              </c:numCache>
            </c:numRef>
          </c:val>
        </c:ser>
        <c:ser>
          <c:idx val="1"/>
          <c:order val="1"/>
          <c:tx>
            <c:strRef>
              <c:f>'1.2'!$C$1</c:f>
              <c:strCache>
                <c:ptCount val="1"/>
                <c:pt idx="0">
                  <c:v>Сумма Товарооборот, руб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'1.2'!$A$2:$A$8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'1.2'!$C$2:$C$8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983915409.85665</c:v>
                </c:pt>
                <c:pt idx="2">
                  <c:v>947263006.72395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593165"/>
        <c:axId val="288671972"/>
      </c:barChart>
      <c:catAx>
        <c:axId val="11459316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Неделя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671972"/>
        <c:crosses val="autoZero"/>
        <c:auto val="1"/>
        <c:lblAlgn val="ctr"/>
        <c:lblOffset val="100"/>
        <c:noMultiLvlLbl val="0"/>
      </c:catAx>
      <c:valAx>
        <c:axId val="2886719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Сумма,руб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5931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604520</xdr:colOff>
      <xdr:row>0</xdr:row>
      <xdr:rowOff>7620</xdr:rowOff>
    </xdr:from>
    <xdr:to>
      <xdr:col>19</xdr:col>
      <xdr:colOff>340360</xdr:colOff>
      <xdr:row>27</xdr:row>
      <xdr:rowOff>121920</xdr:rowOff>
    </xdr:to>
    <xdr:graphicFrame>
      <xdr:nvGraphicFramePr>
        <xdr:cNvPr id="6" name="Диаграмма 5"/>
        <xdr:cNvGraphicFramePr/>
      </xdr:nvGraphicFramePr>
      <xdr:xfrm>
        <a:off x="5885180" y="7620"/>
        <a:ext cx="13680440" cy="5052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2.6090046296" refreshedBy="abdra" recordCount="504">
  <cacheSource type="worksheet">
    <worksheetSource ref="A1:I505" sheet="Лист1"/>
  </cacheSource>
  <cacheFields count="9">
    <cacheField name="Дата" numFmtId="178">
      <sharedItems containsSemiMixedTypes="0" containsString="0" containsNonDate="0" containsDate="1" minDate="2020-04-28T00:00:00" maxDate="2020-06-01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 count="502">
        <n v="7944"/>
        <n v="10029"/>
        <n v="8536.5"/>
        <n v="38947.5"/>
        <n v="31842"/>
        <n v="32023.5"/>
        <n v="31147.5"/>
        <n v="25566"/>
        <n v="29319"/>
        <n v="29031"/>
        <n v="33423"/>
        <n v="32487"/>
        <n v="28219.5"/>
        <n v="31272"/>
        <n v="34077"/>
        <n v="31566"/>
        <n v="26940"/>
        <n v="29241"/>
        <n v="26082"/>
        <n v="32511"/>
        <n v="42703.5"/>
        <n v="35592"/>
        <n v="30445.5"/>
        <n v="36619.5"/>
        <n v="29409"/>
        <n v="27018"/>
        <n v="34303.5"/>
        <n v="36999"/>
        <n v="44001"/>
        <n v="30982.5"/>
        <n v="88063.5"/>
        <n v="84024"/>
        <n v="78057"/>
        <n v="69720"/>
        <n v="72928.5"/>
        <n v="79527"/>
        <n v="60463.5"/>
        <n v="79975.5"/>
        <n v="97534.5"/>
        <n v="71520"/>
        <n v="79485"/>
        <n v="93313.5"/>
        <n v="76585.5"/>
        <n v="81826.5"/>
        <n v="78846"/>
        <n v="77263.5"/>
        <n v="68994"/>
        <n v="102889.5"/>
        <n v="76999.5"/>
        <n v="77565"/>
        <n v="84132"/>
        <n v="69544.5"/>
        <n v="73204.5"/>
        <n v="76663.5"/>
        <n v="14265"/>
        <n v="11526"/>
        <n v="10402.5"/>
        <n v="13216.5"/>
        <n v="9130.5"/>
        <n v="10840.5"/>
        <n v="7866"/>
        <n v="11835"/>
        <n v="11619"/>
        <n v="9328.5"/>
        <n v="11250"/>
        <n v="13063.5"/>
        <n v="10147.5"/>
        <n v="12331.5"/>
        <n v="11202"/>
        <n v="89149.5"/>
        <n v="8185.5"/>
        <n v="108123"/>
        <n v="9210"/>
        <n v="14773.5"/>
        <n v="78141"/>
        <n v="12280.5"/>
        <n v="8934"/>
        <n v="12918"/>
        <n v="12528"/>
        <n v="11029.5"/>
        <n v="9994.5"/>
        <n v="12724.5"/>
        <n v="14728.5"/>
        <n v="13038"/>
        <n v="35482.5"/>
        <n v="32434.5"/>
        <n v="30486"/>
        <n v="32079"/>
        <n v="27072"/>
        <n v="25917"/>
        <n v="19461"/>
        <n v="31407"/>
        <n v="25792.5"/>
        <n v="26032.5"/>
        <n v="31707"/>
        <n v="29955"/>
        <n v="22848"/>
        <n v="23314.5"/>
        <n v="26464.5"/>
        <n v="23539.5"/>
        <n v="24678"/>
        <n v="38176.5"/>
        <n v="30603"/>
        <n v="24211.5"/>
        <n v="31399.5"/>
        <n v="25294.5"/>
        <n v="25468.5"/>
        <n v="31854"/>
        <n v="32359.5"/>
        <n v="39867"/>
        <n v="31974"/>
        <n v="321412.5"/>
        <n v="276568.5"/>
        <n v="269029.5"/>
        <n v="285972"/>
        <n v="283942.5"/>
        <n v="298059"/>
        <n v="232903.5"/>
        <n v="276966"/>
        <n v="296149.5"/>
        <n v="281796"/>
        <n v="288936"/>
        <n v="300151.5"/>
        <n v="262734"/>
        <n v="286002"/>
        <n v="258459"/>
        <n v="274083"/>
        <n v="277512"/>
        <n v="356982"/>
        <n v="266983.5"/>
        <n v="311131.5"/>
        <n v="287206.5"/>
        <n v="370092"/>
        <n v="247813.5"/>
        <n v="287740.5"/>
        <n v="408810"/>
        <n v="362536.5"/>
        <n v="357072"/>
        <n v="359214"/>
        <n v="360255"/>
        <n v="387220.5"/>
        <n v="296580"/>
        <n v="369861"/>
        <n v="372504"/>
        <n v="373392"/>
        <n v="378043.5"/>
        <n v="388668"/>
        <n v="333792"/>
        <n v="376060.5"/>
        <n v="350068.5"/>
        <n v="294337.5"/>
        <n v="342666"/>
        <n v="364882.5"/>
        <n v="355278"/>
        <n v="456885"/>
        <n v="278491.5"/>
        <n v="349734"/>
        <n v="401580"/>
        <n v="368649"/>
        <n v="463530"/>
        <n v="319110"/>
        <n v="375744"/>
        <n v="81331.5"/>
        <n v="75796.5"/>
        <n v="72861"/>
        <n v="83373"/>
        <n v="64108.5"/>
        <n v="74707.5"/>
        <n v="46216.5"/>
        <n v="67726.5"/>
        <n v="82228.5"/>
        <n v="64390.5"/>
        <n v="73126.5"/>
        <n v="99631.5"/>
        <n v="66396"/>
        <n v="73147.5"/>
        <n v="73062"/>
        <n v="379663.5"/>
        <n v="70581"/>
        <n v="453123"/>
        <n v="63012"/>
        <n v="89556"/>
        <n v="364638"/>
        <n v="66316.5"/>
        <n v="78235.5"/>
        <n v="88311"/>
        <n v="61804.5"/>
        <n v="71067"/>
        <n v="74649"/>
        <n v="44560.5"/>
        <n v="38250"/>
        <n v="34830"/>
        <n v="32239.5"/>
        <n v="30780"/>
        <n v="29142"/>
        <n v="26428.5"/>
        <n v="40744.5"/>
        <n v="46620"/>
        <n v="32419.5"/>
        <n v="40819.5"/>
        <n v="41391"/>
        <n v="29482.5"/>
        <n v="32181"/>
        <n v="35535"/>
        <n v="76234.5"/>
        <n v="29935.5"/>
        <n v="106926"/>
        <n v="30342"/>
        <n v="42999"/>
        <n v="69945"/>
        <n v="38740.5"/>
        <n v="31231.5"/>
        <n v="37489.5"/>
        <n v="34399.5"/>
        <n v="32851.5"/>
        <n v="38194.5"/>
        <n v="42423"/>
        <n v="48286.5"/>
        <n v="41442"/>
        <n v="18600"/>
        <n v="16638"/>
        <n v="15609"/>
        <n v="13948.5"/>
        <n v="12301.5"/>
        <n v="13014"/>
        <n v="12313.5"/>
        <n v="17391"/>
        <n v="17113.5"/>
        <n v="12802.5"/>
        <n v="16554"/>
        <n v="17329.5"/>
        <n v="15987"/>
        <n v="13303.5"/>
        <n v="14305.5"/>
        <n v="12924"/>
        <n v="14061"/>
        <n v="21958.5"/>
        <n v="17211"/>
        <n v="12753"/>
        <n v="16435.5"/>
        <n v="14494.5"/>
        <n v="12705"/>
        <n v="18075"/>
        <n v="13120.5"/>
        <n v="16237.5"/>
        <n v="11967"/>
        <n v="12037.5"/>
        <n v="7087.5"/>
        <n v="25816.5"/>
        <n v="4624.5"/>
        <n v="12259.5"/>
        <n v="5446.5"/>
        <n v="11296.5"/>
        <n v="12135"/>
        <n v="12630"/>
        <n v="8223"/>
        <n v="25149"/>
        <n v="10401"/>
        <n v="17689.5"/>
        <n v="8127"/>
        <n v="27250.5"/>
        <n v="8464.5"/>
        <n v="14167.5"/>
        <n v="16500"/>
        <n v="13260"/>
        <n v="4285.5"/>
        <n v="13440"/>
        <n v="9058.5"/>
        <n v="8719.5"/>
        <n v="12666"/>
        <n v="34563"/>
        <n v="28882.5"/>
        <n v="28275"/>
        <n v="26271"/>
        <n v="23587.5"/>
        <n v="18427.5"/>
        <n v="27156"/>
        <n v="35190"/>
        <n v="25483.5"/>
        <n v="25362"/>
        <n v="28849.5"/>
        <n v="26367"/>
        <n v="25539"/>
        <n v="14808"/>
        <n v="21343.5"/>
        <n v="17946"/>
        <n v="24337.5"/>
        <n v="36997.5"/>
        <n v="13864.5"/>
        <n v="28494"/>
        <n v="27883.5"/>
        <n v="31224"/>
        <n v="25020"/>
        <n v="26184"/>
        <n v="29824.5"/>
        <n v="208351.5"/>
        <n v="204637.5"/>
        <n v="31372.5"/>
        <n v="34681.5"/>
        <n v="28197"/>
        <n v="236551.5"/>
        <n v="223597.5"/>
        <n v="193363.5"/>
        <n v="188319"/>
        <n v="237544.5"/>
        <n v="203209.5"/>
        <n v="185979"/>
        <n v="244905"/>
        <n v="239409"/>
        <n v="192886.5"/>
        <n v="224233.5"/>
        <n v="219622.5"/>
        <n v="213582"/>
        <n v="195705"/>
        <n v="193722"/>
        <n v="257215.5"/>
        <n v="224779.5"/>
        <n v="292018.5"/>
        <n v="198751.5"/>
        <n v="214386"/>
        <n v="243825"/>
        <n v="232701"/>
        <n v="219411"/>
        <n v="200029.5"/>
        <n v="225480"/>
        <n v="211453.5"/>
        <n v="184801.5"/>
        <n v="177976.5"/>
        <n v="223617"/>
        <n v="176397"/>
        <n v="232369.5"/>
        <n v="226540.5"/>
        <n v="189679.5"/>
        <n v="213640.5"/>
        <n v="214885.5"/>
        <n v="203832"/>
        <n v="188662.5"/>
        <n v="215277"/>
        <n v="248148"/>
        <n v="246414"/>
        <n v="216498"/>
        <n v="275793"/>
        <n v="199753.5"/>
        <n v="192948"/>
        <n v="206038.5"/>
        <n v="231559.5"/>
        <n v="225076.5"/>
        <n v="209415"/>
        <n v="193719"/>
        <n v="12250.5"/>
        <n v="12541.5"/>
        <n v="206758.5"/>
        <n v="244734"/>
        <n v="191641.5"/>
        <n v="16368"/>
        <n v="14427"/>
        <n v="11745"/>
        <n v="11062.5"/>
        <n v="10018.5"/>
        <n v="10437"/>
        <n v="13644"/>
        <n v="13443"/>
        <n v="14182.5"/>
        <n v="14928"/>
        <n v="13941"/>
        <n v="14643"/>
        <n v="10032"/>
        <n v="12468"/>
        <n v="17943"/>
        <n v="15807"/>
        <n v="11976"/>
        <n v="14566.5"/>
        <n v="12976.5"/>
        <n v="11719.5"/>
        <n v="17197.5"/>
        <n v="14419.5"/>
        <n v="7816.5"/>
        <n v="6409.5"/>
        <n v="11220"/>
        <n v="8350.5"/>
        <n v="8428.5"/>
        <n v="32817"/>
        <n v="36031.5"/>
        <n v="5127"/>
        <n v="27187.5"/>
        <n v="20688"/>
        <n v="15678"/>
        <n v="31329"/>
        <n v="29658"/>
        <n v="34150.5"/>
        <n v="31947"/>
        <n v="10416"/>
        <n v="35431.5"/>
        <n v="78544.5"/>
        <n v="97963.5"/>
        <n v="77269.5"/>
        <n v="16143"/>
        <n v="72220.5"/>
        <n v="78058.5"/>
        <n v="70498.5"/>
        <n v="78961.5"/>
        <n v="12490.5"/>
        <n v="18036"/>
        <n v="11416.5"/>
        <n v="9007.5"/>
        <n v="87552"/>
        <n v="11680.5"/>
        <n v="14421"/>
        <n v="14823"/>
        <n v="31257"/>
        <n v="38074.5"/>
        <n v="32170.5"/>
        <n v="42397.5"/>
        <n v="28668"/>
        <n v="27411"/>
        <n v="32854.5"/>
        <n v="35346"/>
        <n v="286558.5"/>
        <n v="304092"/>
        <n v="272926.5"/>
        <n v="237099"/>
        <n v="273900"/>
        <n v="274059"/>
        <n v="318816"/>
        <n v="370012.5"/>
        <n v="393018"/>
        <n v="349699.5"/>
        <n v="318565.5"/>
        <n v="422965.5"/>
        <n v="355081.5"/>
        <n v="358387.5"/>
        <n v="403261.5"/>
        <n v="69010.5"/>
        <n v="75820.5"/>
        <n v="64740"/>
        <n v="59574"/>
        <n v="524481"/>
        <n v="70278"/>
        <n v="63645"/>
        <n v="75642"/>
        <n v="40420.5"/>
        <n v="53838"/>
        <n v="40528.5"/>
        <n v="32733"/>
        <n v="84433.5"/>
        <n v="36655.5"/>
        <n v="33886.5"/>
        <n v="41697"/>
        <n v="44569.5"/>
        <n v="18069"/>
        <n v="21483"/>
        <n v="16687.5"/>
        <n v="12238.5"/>
        <n v="14290.5"/>
        <n v="14385"/>
        <n v="16498.5"/>
        <n v="13203"/>
        <n v="15802.5"/>
        <n v="16476"/>
        <n v="12654"/>
        <n v="19647"/>
        <n v="12450"/>
        <n v="11161.5"/>
        <n v="12229.5"/>
        <n v="28050"/>
        <n v="30781.5"/>
        <n v="27960"/>
        <n v="23629.5"/>
        <n v="17052"/>
        <n v="27181.5"/>
        <n v="25656"/>
        <n v="29283"/>
        <n v="32782.5"/>
        <n v="215592"/>
        <n v="228334.5"/>
        <n v="188776.5"/>
        <n v="175293"/>
        <n v="201999"/>
        <n v="197946"/>
        <n v="230896.5"/>
        <n v="203532"/>
        <n v="214428"/>
        <n v="183228"/>
        <n v="166948.5"/>
        <n v="232102.5"/>
        <n v="196560"/>
        <n v="186496.5"/>
        <n v="219772.5"/>
        <n v="226476"/>
        <n v="8362.5"/>
        <n v="17008.5"/>
        <n v="5166"/>
        <n v="10941"/>
        <n v="14497.5"/>
        <n v="13810.5"/>
        <n v="13752"/>
        <n v="15276"/>
        <n v="4408.5"/>
        <n v="9927"/>
        <n v="9474"/>
        <n v="16878"/>
        <n v="14238"/>
      </sharedItems>
    </cacheField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"/>
        <n v="31053316.5"/>
        <n v="29042520"/>
        <n v="27852900"/>
        <n v="29368771.61745"/>
        <n v="27278441.145"/>
        <n v="29159032.5"/>
        <n v="26467453.5"/>
        <n v="28427001"/>
        <n v="28770810.1056"/>
        <n v="35103926.71155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5"/>
        <n v="27535284.1476"/>
        <n v="28181292"/>
        <n v="32354331"/>
        <n v="39034861.5"/>
        <n v="39498373.5"/>
        <n v="37257840.18135"/>
        <n v="33781581"/>
        <n v="41767140.105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 count="24">
        <n v="15"/>
        <n v="21"/>
        <n v="20"/>
        <n v="18"/>
        <n v="19"/>
        <n v="31"/>
        <n v="10"/>
        <n v="17"/>
        <n v="129"/>
        <n v="128"/>
        <n v="125"/>
        <n v="124"/>
        <n v="36"/>
        <n v="37"/>
        <n v="23"/>
        <n v="22"/>
        <n v="16"/>
        <n v="59"/>
        <n v="60"/>
        <n v="54"/>
        <n v="7"/>
        <n v="9"/>
        <n v="6"/>
        <n v="123"/>
      </sharedItems>
    </cacheField>
    <cacheField name="Количество заказов" numFmtId="0">
      <sharedItems containsSemiMixedTypes="0" containsString="0" containsNumber="1" containsInteger="1" minValue="237" maxValue="25828" count="481">
        <n v="441"/>
        <n v="490"/>
        <n v="464"/>
        <n v="2145"/>
        <n v="1860"/>
        <n v="1874"/>
        <n v="1735"/>
        <n v="1519"/>
        <n v="1684"/>
        <n v="1708"/>
        <n v="2044"/>
        <n v="1826"/>
        <n v="1656"/>
        <n v="1787"/>
        <n v="1921"/>
        <n v="1773"/>
        <n v="1539"/>
        <n v="1698"/>
        <n v="1520"/>
        <n v="1784"/>
        <n v="2340"/>
        <n v="2087"/>
        <n v="1712"/>
        <n v="2016"/>
        <n v="1646"/>
        <n v="1542"/>
        <n v="1999"/>
        <n v="2271"/>
        <n v="2597"/>
        <n v="1886"/>
        <n v="5593"/>
        <n v="5389"/>
        <n v="5206"/>
        <n v="4556"/>
        <n v="4968"/>
        <n v="5378"/>
        <n v="4157"/>
        <n v="5493"/>
        <n v="6118"/>
        <n v="4800"/>
        <n v="5207"/>
        <n v="5698"/>
        <n v="5188"/>
        <n v="5465"/>
        <n v="5251"/>
        <n v="5155"/>
        <n v="4709"/>
        <n v="6276"/>
        <n v="5210"/>
        <n v="5120"/>
        <n v="5495"/>
        <n v="4635"/>
        <n v="4903"/>
        <n v="5035"/>
        <n v="760"/>
        <n v="649"/>
        <n v="591"/>
        <n v="644"/>
        <n v="462"/>
        <n v="502"/>
        <n v="416"/>
        <n v="692"/>
        <n v="554"/>
        <n v="526"/>
        <n v="677"/>
        <n v="745"/>
        <n v="511"/>
        <n v="580"/>
        <n v="612"/>
        <n v="5760"/>
        <n v="402"/>
        <n v="6735"/>
        <n v="465"/>
        <n v="828"/>
        <n v="5355"/>
        <n v="739"/>
        <n v="448"/>
        <n v="642"/>
        <n v="638"/>
        <n v="563"/>
        <n v="639"/>
        <n v="749"/>
        <n v="865"/>
        <n v="791"/>
        <n v="2080"/>
        <n v="1871"/>
        <n v="1851"/>
        <n v="1582"/>
        <n v="1534"/>
        <n v="1217"/>
        <n v="2036"/>
        <n v="1497"/>
        <n v="1649"/>
        <n v="1949"/>
        <n v="1889"/>
        <n v="1417"/>
        <n v="1439"/>
        <n v="1625"/>
        <n v="1402"/>
        <n v="1499"/>
        <n v="2266"/>
        <n v="2011"/>
        <n v="1848"/>
        <n v="1522"/>
        <n v="1530"/>
        <n v="2015"/>
        <n v="2060"/>
        <n v="2451"/>
        <n v="2088"/>
        <n v="17914"/>
        <n v="16191"/>
        <n v="15744"/>
        <n v="16420"/>
        <n v="16525"/>
        <n v="17368"/>
        <n v="14009"/>
        <n v="16459"/>
        <n v="17002"/>
        <n v="16387"/>
        <n v="16373"/>
        <n v="17095"/>
        <n v="15665"/>
        <n v="16450"/>
        <n v="15304"/>
        <n v="15778"/>
        <n v="16376"/>
        <n v="19856"/>
        <n v="15822"/>
        <n v="18042"/>
        <n v="16437"/>
        <n v="20452"/>
        <n v="14582"/>
        <n v="16432"/>
        <n v="22291"/>
        <n v="20771"/>
        <n v="20079"/>
        <n v="20132"/>
        <n v="20495"/>
        <n v="21863"/>
        <n v="16932"/>
        <n v="21153"/>
        <n v="20602"/>
        <n v="21106"/>
        <n v="20911"/>
        <n v="21674"/>
        <n v="18944"/>
        <n v="20914"/>
        <n v="19965"/>
        <n v="17235"/>
        <n v="18861"/>
        <n v="20243"/>
        <n v="20218"/>
        <n v="24574"/>
        <n v="16453"/>
        <n v="20358"/>
        <n v="22368"/>
        <n v="20368"/>
        <n v="24620"/>
        <n v="18014"/>
        <n v="21004"/>
        <n v="5286"/>
        <n v="5094"/>
        <n v="4918"/>
        <n v="5413"/>
        <n v="4508"/>
        <n v="4937"/>
        <n v="3442"/>
        <n v="4770"/>
        <n v="5457"/>
        <n v="4418"/>
        <n v="4816"/>
        <n v="5914"/>
        <n v="4575"/>
        <n v="4923"/>
        <n v="4967"/>
        <n v="21392"/>
        <n v="4751"/>
        <n v="24325"/>
        <n v="4384"/>
        <n v="5651"/>
        <n v="20868"/>
        <n v="4641"/>
        <n v="5143"/>
        <n v="5746"/>
        <n v="4199"/>
        <n v="4826"/>
        <n v="4915"/>
        <n v="2427"/>
        <n v="2245"/>
        <n v="2054"/>
        <n v="1891"/>
        <n v="1804"/>
        <n v="1676"/>
        <n v="1613"/>
        <n v="2418"/>
        <n v="2468"/>
        <n v="1926"/>
        <n v="2335"/>
        <n v="2410"/>
        <n v="1757"/>
        <n v="1846"/>
        <n v="2061"/>
        <n v="5215"/>
        <n v="1716"/>
        <n v="6645"/>
        <n v="1747"/>
        <n v="2460"/>
        <n v="4840"/>
        <n v="2330"/>
        <n v="1756"/>
        <n v="2120"/>
        <n v="1957"/>
        <n v="1879"/>
        <n v="2254"/>
        <n v="2522"/>
        <n v="2793"/>
        <n v="2454"/>
        <n v="1111"/>
        <n v="1012"/>
        <n v="971"/>
        <n v="849"/>
        <n v="750"/>
        <n v="786"/>
        <n v="751"/>
        <n v="1140"/>
        <n v="996"/>
        <n v="845"/>
        <n v="1045"/>
        <n v="1050"/>
        <n v="922"/>
        <n v="780"/>
        <n v="898"/>
        <n v="784"/>
        <n v="839"/>
        <n v="1294"/>
        <n v="1142"/>
        <n v="950"/>
        <n v="879"/>
        <n v="805"/>
        <n v="1128"/>
        <n v="747"/>
        <n v="930"/>
        <n v="623"/>
        <n v="390"/>
        <n v="1599"/>
        <n v="274"/>
        <n v="812"/>
        <n v="294"/>
        <n v="624"/>
        <n v="455"/>
        <n v="1505"/>
        <n v="599"/>
        <n v="1186"/>
        <n v="1697"/>
        <n v="467"/>
        <n v="840"/>
        <n v="1097"/>
        <n v="835"/>
        <n v="262"/>
        <n v="706"/>
        <n v="492"/>
        <n v="480"/>
        <n v="779"/>
        <n v="2039"/>
        <n v="1831"/>
        <n v="1790"/>
        <n v="1479"/>
        <n v="1206"/>
        <n v="1814"/>
        <n v="1987"/>
        <n v="1598"/>
        <n v="1650"/>
        <n v="1823"/>
        <n v="1622"/>
        <n v="1605"/>
        <n v="917"/>
        <n v="1314"/>
        <n v="1048"/>
        <n v="1509"/>
        <n v="2195"/>
        <n v="876"/>
        <n v="1899"/>
        <n v="1662"/>
        <n v="1836"/>
        <n v="1580"/>
        <n v="1868"/>
        <n v="13186"/>
        <n v="12943"/>
        <n v="2056"/>
        <n v="2174"/>
        <n v="1875"/>
        <n v="14049"/>
        <n v="13867"/>
        <n v="11698"/>
        <n v="12016"/>
        <n v="14423"/>
        <n v="12747"/>
        <n v="12429"/>
        <n v="15369"/>
        <n v="15222"/>
        <n v="12000"/>
        <n v="14005"/>
        <n v="13792"/>
        <n v="13469"/>
        <n v="12306"/>
        <n v="12007"/>
        <n v="15277"/>
        <n v="14103"/>
        <n v="17295"/>
        <n v="12983"/>
        <n v="13251"/>
        <n v="14569"/>
        <n v="14098"/>
        <n v="13495"/>
        <n v="12822"/>
        <n v="13170"/>
        <n v="13070"/>
        <n v="11128"/>
        <n v="11288"/>
        <n v="13606"/>
        <n v="11622"/>
        <n v="14482"/>
        <n v="14205"/>
        <n v="11614"/>
        <n v="13240"/>
        <n v="13298"/>
        <n v="12775"/>
        <n v="11522"/>
        <n v="13684"/>
        <n v="14823"/>
        <n v="15030"/>
        <n v="13406"/>
        <n v="16221"/>
        <n v="12854"/>
        <n v="12336"/>
        <n v="12817"/>
        <n v="13832"/>
        <n v="13563"/>
        <n v="12743"/>
        <n v="12211"/>
        <n v="659"/>
        <n v="636"/>
        <n v="13106"/>
        <n v="14590"/>
        <n v="12409"/>
        <n v="920"/>
        <n v="857"/>
        <n v="859"/>
        <n v="654"/>
        <n v="622"/>
        <n v="567"/>
        <n v="577"/>
        <n v="721"/>
        <n v="888"/>
        <n v="890"/>
        <n v="854"/>
        <n v="585"/>
        <n v="701"/>
        <n v="1031"/>
        <n v="989"/>
        <n v="792"/>
        <n v="703"/>
        <n v="676"/>
        <n v="1006"/>
        <n v="914"/>
        <n v="453"/>
        <n v="345"/>
        <n v="532"/>
        <n v="400"/>
        <n v="420"/>
        <n v="2079"/>
        <n v="2046"/>
        <n v="261"/>
        <n v="1597"/>
        <n v="1216"/>
        <n v="1020"/>
        <n v="1834"/>
        <n v="1706"/>
        <n v="2025"/>
        <n v="530"/>
        <n v="2111"/>
        <n v="5330"/>
        <n v="5965"/>
        <n v="5468"/>
        <n v="1029"/>
        <n v="5165"/>
        <n v="4695"/>
        <n v="5184"/>
        <n v="757"/>
        <n v="965"/>
        <n v="719"/>
        <n v="494"/>
        <n v="5751"/>
        <n v="645"/>
        <n v="627"/>
        <n v="743"/>
        <n v="873"/>
        <n v="2306"/>
        <n v="2136"/>
        <n v="2530"/>
        <n v="1858"/>
        <n v="1675"/>
        <n v="1940"/>
        <n v="2249"/>
        <n v="17115"/>
        <n v="17088"/>
        <n v="16285"/>
        <n v="14043"/>
        <n v="16110"/>
        <n v="15804"/>
        <n v="17808"/>
        <n v="21384"/>
        <n v="21427"/>
        <n v="20325"/>
        <n v="18066"/>
        <n v="22403"/>
        <n v="20449"/>
        <n v="20247"/>
        <n v="21862"/>
        <n v="4951"/>
        <n v="4857"/>
        <n v="4722"/>
        <n v="4150"/>
        <n v="25828"/>
        <n v="4885"/>
        <n v="4285"/>
        <n v="4862"/>
        <n v="2430"/>
        <n v="2861"/>
        <n v="2531"/>
        <n v="1916"/>
        <n v="5672"/>
        <n v="1993"/>
        <n v="2255"/>
        <n v="1203"/>
        <n v="1268"/>
        <n v="1185"/>
        <n v="925"/>
        <n v="980"/>
        <n v="809"/>
        <n v="903"/>
        <n v="1019"/>
        <n v="684"/>
        <n v="1296"/>
        <n v="729"/>
        <n v="688"/>
        <n v="1873"/>
        <n v="1859"/>
        <n v="1527"/>
        <n v="981"/>
        <n v="1741"/>
        <n v="1635"/>
        <n v="1780"/>
        <n v="2064"/>
        <n v="13942"/>
        <n v="14050"/>
        <n v="12299"/>
        <n v="11100"/>
        <n v="12460"/>
        <n v="11935"/>
        <n v="13544"/>
        <n v="13091"/>
        <n v="13014"/>
        <n v="11864"/>
        <n v="10570"/>
        <n v="14507"/>
        <n v="12012"/>
        <n v="11194"/>
        <n v="12791"/>
        <n v="14031"/>
        <n v="409"/>
        <n v="985"/>
        <n v="864"/>
        <n v="834"/>
        <n v="817"/>
        <n v="962"/>
        <n v="237"/>
        <n v="491"/>
        <n v="500"/>
        <n v="1014"/>
        <n v="923"/>
      </sharedItems>
    </cacheField>
    <cacheField name="Количество клиентов" numFmtId="0">
      <sharedItems containsSemiMixedTypes="0" containsString="0" containsNumber="1" containsInteger="1" minValue="175" maxValue="23974" count="482">
        <n v="368"/>
        <n v="409"/>
        <n v="390"/>
        <n v="1947"/>
        <n v="1704"/>
        <n v="1705"/>
        <n v="1568"/>
        <n v="1372"/>
        <n v="1528"/>
        <n v="1534"/>
        <n v="1863"/>
        <n v="1633"/>
        <n v="1516"/>
        <n v="1626"/>
        <n v="1767"/>
        <n v="1604"/>
        <n v="1404"/>
        <n v="1554"/>
        <n v="1373"/>
        <n v="1632"/>
        <n v="2146"/>
        <n v="1914"/>
        <n v="1552"/>
        <n v="1846"/>
        <n v="1492"/>
        <n v="1405"/>
        <n v="1829"/>
        <n v="2085"/>
        <n v="2376"/>
        <n v="1736"/>
        <n v="5177"/>
        <n v="5024"/>
        <n v="4843"/>
        <n v="4220"/>
        <n v="4596"/>
        <n v="4985"/>
        <n v="3823"/>
        <n v="5119"/>
        <n v="5564"/>
        <n v="4470"/>
        <n v="4868"/>
        <n v="5258"/>
        <n v="4800"/>
        <n v="5096"/>
        <n v="4853"/>
        <n v="4762"/>
        <n v="4348"/>
        <n v="5801"/>
        <n v="4841"/>
        <n v="4737"/>
        <n v="5093"/>
        <n v="4266"/>
        <n v="4527"/>
        <n v="4683"/>
        <n v="672"/>
        <n v="568"/>
        <n v="513"/>
        <n v="559"/>
        <n v="396"/>
        <n v="433"/>
        <n v="341"/>
        <n v="601"/>
        <n v="472"/>
        <n v="448"/>
        <n v="591"/>
        <n v="654"/>
        <n v="437"/>
        <n v="506"/>
        <n v="530"/>
        <n v="5367"/>
        <n v="333"/>
        <n v="6264"/>
        <n v="734"/>
        <n v="4969"/>
        <n v="642"/>
        <n v="376"/>
        <n v="556"/>
        <n v="547"/>
        <n v="486"/>
        <n v="557"/>
        <n v="655"/>
        <n v="763"/>
        <n v="697"/>
        <n v="1844"/>
        <n v="1799"/>
        <n v="1660"/>
        <n v="1635"/>
        <n v="1403"/>
        <n v="1369"/>
        <n v="1048"/>
        <n v="1790"/>
        <n v="1291"/>
        <n v="1460"/>
        <n v="1724"/>
        <n v="1690"/>
        <n v="1245"/>
        <n v="1265"/>
        <n v="1444"/>
        <n v="1234"/>
        <n v="1323"/>
        <n v="1993"/>
        <n v="1791"/>
        <n v="1322"/>
        <n v="1649"/>
        <n v="1340"/>
        <n v="1338"/>
        <n v="1803"/>
        <n v="1826"/>
        <n v="2178"/>
        <n v="1848"/>
        <n v="16631"/>
        <n v="15102"/>
        <n v="14685"/>
        <n v="15169"/>
        <n v="15310"/>
        <n v="16077"/>
        <n v="12920"/>
        <n v="15355"/>
        <n v="15570"/>
        <n v="15322"/>
        <n v="15223"/>
        <n v="15919"/>
        <n v="14501"/>
        <n v="15320"/>
        <n v="14315"/>
        <n v="14624"/>
        <n v="15197"/>
        <n v="18325"/>
        <n v="14753"/>
        <n v="15285"/>
        <n v="18857"/>
        <n v="13512"/>
        <n v="15345"/>
        <n v="20635"/>
        <n v="19338"/>
        <n v="18721"/>
        <n v="18617"/>
        <n v="18964"/>
        <n v="20160"/>
        <n v="15601"/>
        <n v="19673"/>
        <n v="18845"/>
        <n v="19651"/>
        <n v="19358"/>
        <n v="20155"/>
        <n v="17541"/>
        <n v="19479"/>
        <n v="18573"/>
        <n v="16052"/>
        <n v="17420"/>
        <n v="18711"/>
        <n v="18647"/>
        <n v="22609"/>
        <n v="15289"/>
        <n v="18890"/>
        <n v="20625"/>
        <n v="18884"/>
        <n v="22641"/>
        <n v="16675"/>
        <n v="19556"/>
        <n v="4867"/>
        <n v="4716"/>
        <n v="4554"/>
        <n v="4959"/>
        <n v="4149"/>
        <n v="4561"/>
        <n v="3147"/>
        <n v="4424"/>
        <n v="4916"/>
        <n v="4088"/>
        <n v="4452"/>
        <n v="5384"/>
        <n v="4206"/>
        <n v="4560"/>
        <n v="4583"/>
        <n v="19869"/>
        <n v="4370"/>
        <n v="22469"/>
        <n v="4025"/>
        <n v="5212"/>
        <n v="19342"/>
        <n v="4274"/>
        <n v="4715"/>
        <n v="5277"/>
        <n v="3867"/>
        <n v="4426"/>
        <n v="4562"/>
        <n v="2213"/>
        <n v="2053"/>
        <n v="1883"/>
        <n v="1709"/>
        <n v="1638"/>
        <n v="1457"/>
        <n v="2215"/>
        <n v="2221"/>
        <n v="1745"/>
        <n v="2126"/>
        <n v="2202"/>
        <n v="1596"/>
        <n v="1681"/>
        <n v="1876"/>
        <n v="4848"/>
        <n v="1561"/>
        <n v="6122"/>
        <n v="1570"/>
        <n v="2226"/>
        <n v="4475"/>
        <n v="2142"/>
        <n v="1586"/>
        <n v="1921"/>
        <n v="1755"/>
        <n v="1695"/>
        <n v="2061"/>
        <n v="2295"/>
        <n v="2539"/>
        <n v="2239"/>
        <n v="992"/>
        <n v="900"/>
        <n v="856"/>
        <n v="740"/>
        <n v="647"/>
        <n v="695"/>
        <n v="651"/>
        <n v="1016"/>
        <n v="888"/>
        <n v="743"/>
        <n v="930"/>
        <n v="938"/>
        <n v="823"/>
        <n v="690"/>
        <n v="795"/>
        <n v="696"/>
        <n v="733"/>
        <n v="1155"/>
        <n v="1020"/>
        <n v="691"/>
        <n v="848"/>
        <n v="768"/>
        <n v="703"/>
        <n v="1001"/>
        <n v="827"/>
        <n v="535"/>
        <n v="315"/>
        <n v="1450"/>
        <n v="203"/>
        <n v="711"/>
        <n v="225"/>
        <n v="538"/>
        <n v="652"/>
        <n v="664"/>
        <n v="381"/>
        <n v="1368"/>
        <n v="515"/>
        <n v="1054"/>
        <n v="384"/>
        <n v="1499"/>
        <n v="389"/>
        <n v="725"/>
        <n v="968"/>
        <n v="736"/>
        <n v="195"/>
        <n v="608"/>
        <n v="412"/>
        <n v="398"/>
        <n v="673"/>
        <n v="1868"/>
        <n v="1667"/>
        <n v="1412"/>
        <n v="1346"/>
        <n v="1080"/>
        <n v="1655"/>
        <n v="1454"/>
        <n v="1505"/>
        <n v="1678"/>
        <n v="1482"/>
        <n v="1447"/>
        <n v="802"/>
        <n v="1192"/>
        <n v="918"/>
        <n v="1374"/>
        <n v="1999"/>
        <n v="762"/>
        <n v="1738"/>
        <n v="1506"/>
        <n v="1680"/>
        <n v="1380"/>
        <n v="1435"/>
        <n v="1706"/>
        <n v="12251"/>
        <n v="12072"/>
        <n v="1879"/>
        <n v="1957"/>
        <n v="1701"/>
        <n v="13118"/>
        <n v="12987"/>
        <n v="10989"/>
        <n v="11137"/>
        <n v="13432"/>
        <n v="11884"/>
        <n v="11477"/>
        <n v="14299"/>
        <n v="13873"/>
        <n v="11194"/>
        <n v="13002"/>
        <n v="12834"/>
        <n v="12486"/>
        <n v="11532"/>
        <n v="11245"/>
        <n v="14163"/>
        <n v="16010"/>
        <n v="12056"/>
        <n v="12255"/>
        <n v="13566"/>
        <n v="13106"/>
        <n v="12517"/>
        <n v="11916"/>
        <n v="12299"/>
        <n v="12244"/>
        <n v="10467"/>
        <n v="10492"/>
        <n v="12697"/>
        <n v="10754"/>
        <n v="13510"/>
        <n v="13026"/>
        <n v="10862"/>
        <n v="12360"/>
        <n v="12428"/>
        <n v="11887"/>
        <n v="10803"/>
        <n v="12690"/>
        <n v="13751"/>
        <n v="13956"/>
        <n v="12518"/>
        <n v="15065"/>
        <n v="11954"/>
        <n v="11519"/>
        <n v="11865"/>
        <n v="12864"/>
        <n v="12604"/>
        <n v="11858"/>
        <n v="11427"/>
        <n v="575"/>
        <n v="12164"/>
        <n v="13551"/>
        <n v="11582"/>
        <n v="818"/>
        <n v="757"/>
        <n v="746"/>
        <n v="570"/>
        <n v="493"/>
        <n v="625"/>
        <n v="659"/>
        <n v="786"/>
        <n v="794"/>
        <n v="658"/>
        <n v="756"/>
        <n v="502"/>
        <n v="611"/>
        <n v="887"/>
        <n v="550"/>
        <n v="609"/>
        <n v="904"/>
        <n v="804"/>
        <n v="370"/>
        <n v="255"/>
        <n v="449"/>
        <n v="329"/>
        <n v="347"/>
        <n v="1893"/>
        <n v="1853"/>
        <n v="188"/>
        <n v="1101"/>
        <n v="911"/>
        <n v="1548"/>
        <n v="1742"/>
        <n v="1849"/>
        <n v="447"/>
        <n v="1917"/>
        <n v="4977"/>
        <n v="5533"/>
        <n v="5081"/>
        <n v="925"/>
        <n v="4483"/>
        <n v="4813"/>
        <n v="4372"/>
        <n v="4778"/>
        <n v="660"/>
        <n v="861"/>
        <n v="627"/>
        <n v="421"/>
        <n v="5319"/>
        <n v="565"/>
        <n v="545"/>
        <n v="770"/>
        <n v="1856"/>
        <n v="2054"/>
        <n v="1899"/>
        <n v="2270"/>
        <n v="1648"/>
        <n v="1475"/>
        <n v="1715"/>
        <n v="2000"/>
        <n v="15962"/>
        <n v="15804"/>
        <n v="15130"/>
        <n v="13167"/>
        <n v="14992"/>
        <n v="14738"/>
        <n v="16486"/>
        <n v="19897"/>
        <n v="19799"/>
        <n v="18935"/>
        <n v="16883"/>
        <n v="20676"/>
        <n v="19060"/>
        <n v="18812"/>
        <n v="20235"/>
        <n v="4584"/>
        <n v="4456"/>
        <n v="4352"/>
        <n v="3838"/>
        <n v="23974"/>
        <n v="4502"/>
        <n v="3950"/>
        <n v="4476"/>
        <n v="2216"/>
        <n v="2612"/>
        <n v="2296"/>
        <n v="1733"/>
        <n v="5198"/>
        <n v="1796"/>
        <n v="2045"/>
        <n v="2379"/>
        <n v="1077"/>
        <n v="1129"/>
        <n v="1042"/>
        <n v="714"/>
        <n v="816"/>
        <n v="777"/>
        <n v="867"/>
        <n v="702"/>
        <n v="792"/>
        <n v="895"/>
        <n v="585"/>
        <n v="1153"/>
        <n v="636"/>
        <n v="548"/>
        <n v="598"/>
        <n v="1697"/>
        <n v="1720"/>
        <n v="1389"/>
        <n v="859"/>
        <n v="1597"/>
        <n v="1487"/>
        <n v="1615"/>
        <n v="1896"/>
        <n v="12986"/>
        <n v="13027"/>
        <n v="11448"/>
        <n v="10407"/>
        <n v="11665"/>
        <n v="11178"/>
        <n v="12643"/>
        <n v="12216"/>
        <n v="12095"/>
        <n v="11071"/>
        <n v="9926"/>
        <n v="13386"/>
        <n v="11308"/>
        <n v="10554"/>
        <n v="11950"/>
        <n v="12943"/>
        <n v="224"/>
        <n v="564"/>
        <n v="765"/>
        <n v="735"/>
        <n v="718"/>
        <n v="175"/>
        <n v="411"/>
        <n v="418"/>
        <n v="893"/>
        <n v="824"/>
      </sharedItems>
    </cacheField>
    <cacheField name="Товарооборот на склад" numFmtId="179">
      <sharedItems containsSemiMixedTypes="0" containsString="0" containsNumber="1" minValue="26979.4" maxValue="496419" count="504">
        <n v="41598.1"/>
        <n v="52473.4"/>
        <n v="42929.6"/>
        <n v="161709.142857143"/>
        <n v="131957.928571429"/>
        <n v="137259.928571429"/>
        <n v="134810.428571429"/>
        <n v="118615.5"/>
        <n v="145748.916666667"/>
        <n v="150624.833333333"/>
        <n v="148516.5"/>
        <n v="168403"/>
        <n v="123608.5"/>
        <n v="130684.857142857"/>
        <n v="139491.928571429"/>
        <n v="145338.15"/>
        <n v="133977.083333333"/>
        <n v="125227.714285714"/>
        <n v="121745.7"/>
        <n v="146931.15"/>
        <n v="172796.5"/>
        <n v="158829"/>
        <n v="148273.5"/>
        <n v="157760.357142857"/>
        <n v="125960"/>
        <n v="117724.428571429"/>
        <n v="146237.325"/>
        <n v="165423.571428571"/>
        <n v="196089.225"/>
        <n v="141388.65"/>
        <n v="244637.370967742"/>
        <n v="219855.193548387"/>
        <n v="218546.661290323"/>
        <n v="202094.612903226"/>
        <n v="214266.096774194"/>
        <n v="231628.983870968"/>
        <n v="179167.5"/>
        <n v="215369.661290323"/>
        <n v="286871.758064516"/>
        <n v="206398.741935484"/>
        <n v="213995.080645161"/>
        <n v="233792.758064516"/>
        <n v="223268.274193548"/>
        <n v="231085.306451613"/>
        <n v="225611.370967742"/>
        <n v="226247.419354839"/>
        <n v="198988.935483871"/>
        <n v="260940.096774194"/>
        <n v="214374.290322581"/>
        <n v="226571.85483871"/>
        <n v="241393.35483871"/>
        <n v="203025.048387097"/>
        <n v="212641.403225806"/>
        <n v="208097.806451613"/>
        <n v="113050.65"/>
        <n v="93876.45"/>
        <n v="84372.75"/>
        <n v="104640"/>
        <n v="72889.05"/>
        <n v="79791.9"/>
        <n v="61788.15"/>
        <n v="98310.9"/>
        <n v="89113.95"/>
        <n v="73296.45"/>
        <n v="93552.3"/>
        <n v="103724.7"/>
        <n v="79332"/>
        <n v="86998.35"/>
        <n v="86571.45"/>
        <n v="242343.435483871"/>
        <n v="63788.1"/>
        <n v="295635.725806452"/>
        <n v="69683.25"/>
        <n v="124138.35"/>
        <n v="214244.177419355"/>
        <n v="103044"/>
        <n v="71619.6"/>
        <n v="100478.85"/>
        <n v="95970.3"/>
        <n v="86375.4"/>
        <n v="82898.4"/>
        <n v="104551.5"/>
        <n v="126048.3"/>
        <n v="111455.25"/>
        <n v="169606.184210526"/>
        <n v="150807.236842105"/>
        <n v="141804.710526316"/>
        <n v="152745.631578947"/>
        <n v="128998.342105263"/>
        <n v="133199.333333333"/>
        <n v="94696.3421052632"/>
        <n v="145370.55"/>
        <n v="124966.105263158"/>
        <n v="124759.578947368"/>
        <n v="150167.447368421"/>
        <n v="141696.315789474"/>
        <n v="109468.421052632"/>
        <n v="125695.147058824"/>
        <n v="124912.5"/>
        <n v="114226.815789474"/>
        <n v="117501"/>
        <n v="169268.625"/>
        <n v="143286.375"/>
        <n v="119350.736842105"/>
        <n v="150647.289473684"/>
        <n v="119550.236842105"/>
        <n v="123719.605263158"/>
        <n v="145776.675"/>
        <n v="149599.95"/>
        <n v="182708.325"/>
        <n v="150210.675"/>
        <n v="249890.418604651"/>
        <n v="210028.093023256"/>
        <n v="206666.127906977"/>
        <n v="230761.23255814"/>
        <n v="227580.930232558"/>
        <n v="241166.30859375"/>
        <n v="188697.802325581"/>
        <n v="216066.805417442"/>
        <n v="240723.38372093"/>
        <n v="225135.813953488"/>
        <n v="215913.953488372"/>
        <n v="227664.896259302"/>
        <n v="211460.784069767"/>
        <n v="227804.94140625"/>
        <n v="205174.058139535"/>
        <n v="220364.348837209"/>
        <n v="223029.535702326"/>
        <n v="272123.462880233"/>
        <n v="210588.476744186"/>
        <n v="251309.139534884"/>
        <n v="228962.605473256"/>
        <n v="295283.38372093"/>
        <n v="196319.930232558"/>
        <n v="218515.76744186"/>
        <n v="338589.048"/>
        <n v="296185.944"/>
        <n v="294676.536"/>
        <n v="309547.416"/>
        <n v="307255.632"/>
        <n v="332475.072"/>
        <n v="254749.896"/>
        <n v="309402.907258065"/>
        <n v="320617.548"/>
        <n v="316628.616"/>
        <n v="303217.25256"/>
        <n v="317114.472"/>
        <n v="285373.872"/>
        <n v="319344.228"/>
        <n v="297576.924"/>
        <n v="227347.023255814"/>
        <n v="293055.996"/>
        <n v="276934.058139535"/>
        <n v="304738.752"/>
        <n v="371264.64"/>
        <n v="218224.843023256"/>
        <n v="297447"/>
        <n v="344229.876"/>
        <n v="312087"/>
        <n v="392985.444"/>
        <n v="270111.912"/>
        <n v="305531.052"/>
        <n v="184782.75"/>
        <n v="171485.083333333"/>
        <n v="165355.625"/>
        <n v="201484.083333333"/>
        <n v="154484.791666667"/>
        <n v="179290.5"/>
        <n v="114395.875"/>
        <n v="162916.375"/>
        <n v="195339.583333333"/>
        <n v="153420.708333333"/>
        <n v="162891.25"/>
        <n v="197831.833333333"/>
        <n v="160292.75"/>
        <n v="174673.5"/>
        <n v="175939.666666667"/>
        <n v="317582.080645161"/>
        <n v="172814.458333333"/>
        <n v="373958.903225806"/>
        <n v="151503.375"/>
        <n v="199253.25"/>
        <n v="306029.745967742"/>
        <n v="158462.5"/>
        <n v="189433.166666667"/>
        <n v="214613.041666667"/>
        <n v="149047.458333333"/>
        <n v="171551.041666667"/>
        <n v="169395.458333333"/>
        <n v="191673.714285714"/>
        <n v="169187.5"/>
        <n v="151959.785714286"/>
        <n v="146899.642857143"/>
        <n v="140892.675"/>
        <n v="138294.473684211"/>
        <n v="123523.275"/>
        <n v="176205.285714286"/>
        <n v="214662.075"/>
        <n v="146695.928571429"/>
        <n v="181447.357142857"/>
        <n v="186618.428571429"/>
        <n v="132434.4"/>
        <n v="150715.815789474"/>
        <n v="156574.714285714"/>
        <n v="175698.608108108"/>
        <n v="136000.125"/>
        <n v="245902.337837838"/>
        <n v="136906.35"/>
        <n v="184915"/>
        <n v="164917.054054054"/>
        <n v="169602.642857143"/>
        <n v="142665.525"/>
        <n v="169004.642857143"/>
        <n v="152445.642857143"/>
        <n v="139738.285714286"/>
        <n v="164252.5"/>
        <n v="173658.847826087"/>
        <n v="202565.522727273"/>
        <n v="176985.477272727"/>
        <n v="106761.7"/>
        <n v="85302.9375"/>
        <n v="91838.5"/>
        <n v="81528.8"/>
        <n v="72347.4"/>
        <n v="74399.5"/>
        <n v="70214.7"/>
        <n v="87596.0294117647"/>
        <n v="97722.8"/>
        <n v="74922"/>
        <n v="81220.6764705882"/>
        <n v="89390.90625"/>
        <n v="92278.6"/>
        <n v="73525.8"/>
        <n v="82900.5"/>
        <n v="74667.3"/>
        <n v="81403.8"/>
        <n v="109058.911764706"/>
        <n v="88698.0882352941"/>
        <n v="73537.9"/>
        <n v="98102.5"/>
        <n v="84652.4"/>
        <n v="74926.3"/>
        <n v="91064.6470588235"/>
        <n v="81002.2"/>
        <n v="93536.5"/>
        <n v="70699.3"/>
        <n v="72081.1"/>
        <n v="40723.7"/>
        <n v="131161.916666667"/>
        <n v="28882.9"/>
        <n v="76803.6"/>
        <n v="33704.8"/>
        <n v="65975.5"/>
        <n v="73574.9"/>
        <n v="73657.2"/>
        <n v="46306.2"/>
        <n v="126504"/>
        <n v="63327.5"/>
        <n v="93654.0882352941"/>
        <n v="44353.5"/>
        <n v="144544.235294118"/>
        <n v="49286.1"/>
        <n v="87671.7"/>
        <n v="87525.1764705882"/>
        <n v="82045.8"/>
        <n v="26979.4"/>
        <n v="79885.7"/>
        <n v="53250.6"/>
        <n v="51285.1"/>
        <n v="78991"/>
        <n v="153835.973684211"/>
        <n v="128764.736842105"/>
        <n v="128191.184210526"/>
        <n v="125523"/>
        <n v="113456.210526316"/>
        <n v="88571.1315789474"/>
        <n v="120540.15"/>
        <n v="166763.684210526"/>
        <n v="118061.052631579"/>
        <n v="115733.447368421"/>
        <n v="132671.526315789"/>
        <n v="125280.710526316"/>
        <n v="119139.552631579"/>
        <n v="83549.34375"/>
        <n v="100345.105263158"/>
        <n v="100568.15625"/>
        <n v="113650.026315789"/>
        <n v="162586.342105263"/>
        <n v="77484.1875"/>
        <n v="125640.15"/>
        <n v="134741.052631579"/>
        <n v="145645.815789474"/>
        <n v="117682.105263158"/>
        <n v="121491.394736842"/>
        <n v="132995.210526316"/>
        <n v="366361.576271186"/>
        <n v="357879.63559322"/>
        <n v="133063.071428571"/>
        <n v="150266.7"/>
        <n v="127960.575"/>
        <n v="394823.05"/>
        <n v="365764.3"/>
        <n v="325773.1"/>
        <n v="325739.516949153"/>
        <n v="411732.508474576"/>
        <n v="386507.25"/>
        <n v="332633.288135593"/>
        <n v="426498.838983051"/>
        <n v="430734.762711864"/>
        <n v="320086.325"/>
        <n v="370888.25"/>
        <n v="365988.1"/>
        <n v="371515.855932203"/>
        <n v="370430.805555556"/>
        <n v="323954.55"/>
        <n v="449021.669491525"/>
        <n v="390389.694915254"/>
        <n v="476515.175"/>
        <n v="348860.059322034"/>
        <n v="381864.406779661"/>
        <n v="421871.262711864"/>
        <n v="404778.788135593"/>
        <n v="380680.169491525"/>
        <n v="332663.35"/>
        <n v="413987.75"/>
        <n v="381297.638888889"/>
        <n v="341649.833333333"/>
        <n v="334922.194444444"/>
        <n v="422163.472222222"/>
        <n v="344924.472222222"/>
        <n v="441784.166666667"/>
        <n v="443584"/>
        <n v="346630.305555556"/>
        <n v="389679.138888889"/>
        <n v="396506.472222222"/>
        <n v="386669.305555556"/>
        <n v="347851.861111111"/>
        <n v="365852.822033898"/>
        <n v="472575.416666667"/>
        <n v="415716.025423729"/>
        <n v="409748.972222222"/>
        <n v="496419"/>
        <n v="342262.225"/>
        <n v="366794.944444444"/>
        <n v="402601.111111111"/>
        <n v="434143.055555556"/>
        <n v="423075.527777778"/>
        <n v="397463.388888889"/>
        <n v="353168.833333333"/>
        <n v="65434.6"/>
        <n v="66169.4"/>
        <n v="383652.75"/>
        <n v="447258.888888889"/>
        <n v="362019.194444444"/>
        <n v="82271.90625"/>
        <n v="66282.9705882353"/>
        <n v="72345.5625"/>
        <n v="63720.1"/>
        <n v="60422.9"/>
        <n v="54457.3"/>
        <n v="119116.5"/>
        <n v="75629.6"/>
        <n v="72818.5"/>
        <n v="65143"/>
        <n v="71632.3235294118"/>
        <n v="76371.7"/>
        <n v="78179.4"/>
        <n v="54410"/>
        <n v="67771.1"/>
        <n v="80966.1666666667"/>
        <n v="73705.8333333333"/>
        <n v="66967.4"/>
        <n v="81103.8"/>
        <n v="69789.9"/>
        <n v="64392"/>
        <n v="77014.5833333333"/>
        <n v="67247.5833333333"/>
        <n v="42423"/>
        <n v="54877"/>
        <n v="132667.928571429"/>
        <n v="43415.8"/>
        <n v="99238.5"/>
        <n v="150787.575"/>
        <n v="147193.785714286"/>
        <n v="78139.25"/>
        <n v="118066.5"/>
        <n v="98508.5833333333"/>
        <n v="77080.1666666667"/>
        <n v="134589.5"/>
        <n v="128720.571428571"/>
        <n v="144680.642857143"/>
        <n v="140239.785714286"/>
        <n v="123717.642857143"/>
        <n v="159658.35"/>
        <n v="216163.983870968"/>
        <n v="249305.322580645"/>
        <n v="220320.048387097"/>
        <n v="79078.3333333333"/>
        <n v="206410.306451613"/>
        <n v="213216.580645161"/>
        <n v="195279"/>
        <n v="221821.112903226"/>
        <n v="105479.85"/>
        <n v="145504.95"/>
        <n v="100774.2"/>
        <n v="73433.55"/>
        <n v="238294.064516129"/>
        <n v="93642.75"/>
        <n v="98156.4"/>
        <n v="115057.95"/>
        <n v="127346.4"/>
        <n v="146206.65"/>
        <n v="170709"/>
        <n v="150675.6"/>
        <n v="205893.631578947"/>
        <n v="136218.315789474"/>
        <n v="128501.052631579"/>
        <n v="155214.631578947"/>
        <n v="162902.7"/>
        <n v="226798.395348837"/>
        <n v="228416.813953488"/>
        <n v="216953.84765625"/>
        <n v="190916.536619767"/>
        <n v="213451.815097674"/>
        <n v="218459.627906977"/>
        <n v="250808.76744186"/>
        <n v="314797.27016129"/>
        <n v="315986.988"/>
        <n v="302909.269767073"/>
        <n v="270252.648"/>
        <n v="323776.279883721"/>
        <n v="295015.104"/>
        <n v="303705.204"/>
        <n v="338171.016"/>
        <n v="166274.833333333"/>
        <n v="165096.916666667"/>
        <n v="156764.594594595"/>
        <n v="143838.041666667"/>
        <n v="436871.201612903"/>
        <n v="161068.791666667"/>
        <n v="149072.291666667"/>
        <n v="174832"/>
        <n v="180040.571428571"/>
        <n v="230515.857142857"/>
        <n v="168054.391304348"/>
        <n v="146649.071428571"/>
        <n v="195362.027027027"/>
        <n v="160006.428571429"/>
        <n v="150784.714285714"/>
        <n v="179631.357142857"/>
        <n v="186754.363636364"/>
        <n v="94299.0882352941"/>
        <n v="104372.294117647"/>
        <n v="89800.5"/>
        <n v="73066.8"/>
        <n v="77885.15625"/>
        <n v="81566.1"/>
        <n v="91365.5"/>
        <n v="80763.8"/>
        <n v="94127.3"/>
        <n v="97852.03125"/>
        <n v="72077.2"/>
        <n v="103804.058823529"/>
        <n v="74343.1"/>
        <n v="64233.5"/>
        <n v="74848.7"/>
        <n v="122927.775"/>
        <n v="133721.842105263"/>
        <n v="120903.214285714"/>
        <n v="113913.947368421"/>
        <n v="96813.75"/>
        <n v="122341.578947368"/>
        <n v="117123.236842105"/>
        <n v="130394.052631579"/>
        <n v="142737.075"/>
        <n v="378683.059322034"/>
        <n v="373012.875"/>
        <n v="329921.56779661"/>
        <n v="298652.4"/>
        <n v="340373.925"/>
        <n v="332373.925"/>
        <n v="384753.7"/>
        <n v="388024.527777778"/>
        <n v="385418.25"/>
        <n v="350262.861111111"/>
        <n v="314282.055555556"/>
        <n v="391871.923728814"/>
        <n v="367687.444444444"/>
        <n v="345203.666666667"/>
        <n v="405468.416666667"/>
        <n v="415113.916666667"/>
        <n v="98240.5714285714"/>
        <n v="77709.5"/>
        <n v="43223.6666666667"/>
        <n v="58690.4"/>
        <n v="76919.4375"/>
        <n v="70729.78125"/>
        <n v="68190"/>
        <n v="75011.0833333333"/>
        <n v="68482"/>
        <n v="121548.642857143"/>
        <n v="114635.357142857"/>
        <n v="79903.0833333333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2.6466087963" refreshedBy="abdra" recordCount="504">
  <cacheSource type="worksheet">
    <worksheetSource ref="A1:C505" sheet="1.2"/>
  </cacheSource>
  <cacheFields count="3">
    <cacheField name="Товарооборот, руб" numFmtId="0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"/>
        <n v="31053316.5"/>
        <n v="29042520"/>
        <n v="27852900"/>
        <n v="29368771.61745"/>
        <n v="27278441.145"/>
        <n v="29159032.5"/>
        <n v="26467453.5"/>
        <n v="28427001"/>
        <n v="28770810.1056"/>
        <n v="35103926.71155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5"/>
        <n v="27535284.1476"/>
        <n v="28181292"/>
        <n v="32354331"/>
        <n v="39034861.5"/>
        <n v="39498373.5"/>
        <n v="37257840.18135"/>
        <n v="33781581"/>
        <n v="41767140.105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Товарооборот на склад" numFmtId="0">
      <sharedItems containsSemiMixedTypes="0" containsString="0" containsNumber="1" minValue="26979.4" maxValue="496419" count="504">
        <n v="41598.1"/>
        <n v="52473.4"/>
        <n v="42929.6"/>
        <n v="161709.142857143"/>
        <n v="131957.928571429"/>
        <n v="137259.928571429"/>
        <n v="134810.428571429"/>
        <n v="118615.5"/>
        <n v="145748.916666667"/>
        <n v="150624.833333333"/>
        <n v="148516.5"/>
        <n v="168403"/>
        <n v="123608.5"/>
        <n v="130684.857142857"/>
        <n v="139491.928571429"/>
        <n v="145338.15"/>
        <n v="133977.083333333"/>
        <n v="125227.714285714"/>
        <n v="121745.7"/>
        <n v="146931.15"/>
        <n v="172796.5"/>
        <n v="158829"/>
        <n v="148273.5"/>
        <n v="157760.357142857"/>
        <n v="125960"/>
        <n v="117724.428571429"/>
        <n v="146237.325"/>
        <n v="165423.571428571"/>
        <n v="196089.225"/>
        <n v="141388.65"/>
        <n v="244637.370967742"/>
        <n v="219855.193548387"/>
        <n v="218546.661290323"/>
        <n v="202094.612903226"/>
        <n v="214266.096774194"/>
        <n v="231628.983870968"/>
        <n v="179167.5"/>
        <n v="215369.661290323"/>
        <n v="286871.758064516"/>
        <n v="206398.741935484"/>
        <n v="213995.080645161"/>
        <n v="233792.758064516"/>
        <n v="223268.274193548"/>
        <n v="231085.306451613"/>
        <n v="225611.370967742"/>
        <n v="226247.419354839"/>
        <n v="198988.935483871"/>
        <n v="260940.096774194"/>
        <n v="214374.290322581"/>
        <n v="226571.85483871"/>
        <n v="241393.35483871"/>
        <n v="203025.048387097"/>
        <n v="212641.403225806"/>
        <n v="208097.806451613"/>
        <n v="113050.65"/>
        <n v="93876.45"/>
        <n v="84372.75"/>
        <n v="104640"/>
        <n v="72889.05"/>
        <n v="79791.9"/>
        <n v="61788.15"/>
        <n v="98310.9"/>
        <n v="89113.95"/>
        <n v="73296.45"/>
        <n v="93552.3"/>
        <n v="103724.7"/>
        <n v="79332"/>
        <n v="86998.35"/>
        <n v="86571.45"/>
        <n v="242343.435483871"/>
        <n v="63788.1"/>
        <n v="295635.725806452"/>
        <n v="69683.25"/>
        <n v="124138.35"/>
        <n v="214244.177419355"/>
        <n v="103044"/>
        <n v="71619.6"/>
        <n v="100478.85"/>
        <n v="95970.3"/>
        <n v="86375.4"/>
        <n v="82898.4"/>
        <n v="104551.5"/>
        <n v="126048.3"/>
        <n v="111455.25"/>
        <n v="169606.184210526"/>
        <n v="150807.236842105"/>
        <n v="141804.710526316"/>
        <n v="152745.631578947"/>
        <n v="128998.342105263"/>
        <n v="133199.333333333"/>
        <n v="94696.3421052632"/>
        <n v="145370.55"/>
        <n v="124966.105263158"/>
        <n v="124759.578947368"/>
        <n v="150167.447368421"/>
        <n v="141696.315789474"/>
        <n v="109468.421052632"/>
        <n v="125695.147058824"/>
        <n v="124912.5"/>
        <n v="114226.815789474"/>
        <n v="117501"/>
        <n v="169268.625"/>
        <n v="143286.375"/>
        <n v="119350.736842105"/>
        <n v="150647.289473684"/>
        <n v="119550.236842105"/>
        <n v="123719.605263158"/>
        <n v="145776.675"/>
        <n v="149599.95"/>
        <n v="182708.325"/>
        <n v="150210.675"/>
        <n v="249890.418604651"/>
        <n v="210028.093023256"/>
        <n v="206666.127906977"/>
        <n v="230761.23255814"/>
        <n v="227580.930232558"/>
        <n v="241166.30859375"/>
        <n v="188697.802325581"/>
        <n v="216066.805417442"/>
        <n v="240723.38372093"/>
        <n v="225135.813953488"/>
        <n v="215913.953488372"/>
        <n v="227664.896259302"/>
        <n v="211460.784069767"/>
        <n v="227804.94140625"/>
        <n v="205174.058139535"/>
        <n v="220364.348837209"/>
        <n v="223029.535702326"/>
        <n v="272123.462880233"/>
        <n v="210588.476744186"/>
        <n v="251309.139534884"/>
        <n v="228962.605473256"/>
        <n v="295283.38372093"/>
        <n v="196319.930232558"/>
        <n v="218515.76744186"/>
        <n v="338589.048"/>
        <n v="296185.944"/>
        <n v="294676.536"/>
        <n v="309547.416"/>
        <n v="307255.632"/>
        <n v="332475.072"/>
        <n v="254749.896"/>
        <n v="309402.907258065"/>
        <n v="320617.548"/>
        <n v="316628.616"/>
        <n v="303217.25256"/>
        <n v="317114.472"/>
        <n v="285373.872"/>
        <n v="319344.228"/>
        <n v="297576.924"/>
        <n v="227347.023255814"/>
        <n v="293055.996"/>
        <n v="276934.058139535"/>
        <n v="304738.752"/>
        <n v="371264.64"/>
        <n v="218224.843023256"/>
        <n v="297447"/>
        <n v="344229.876"/>
        <n v="312087"/>
        <n v="392985.444"/>
        <n v="270111.912"/>
        <n v="305531.052"/>
        <n v="184782.75"/>
        <n v="171485.083333333"/>
        <n v="165355.625"/>
        <n v="201484.083333333"/>
        <n v="154484.791666667"/>
        <n v="179290.5"/>
        <n v="114395.875"/>
        <n v="162916.375"/>
        <n v="195339.583333333"/>
        <n v="153420.708333333"/>
        <n v="162891.25"/>
        <n v="197831.833333333"/>
        <n v="160292.75"/>
        <n v="174673.5"/>
        <n v="175939.666666667"/>
        <n v="317582.080645161"/>
        <n v="172814.458333333"/>
        <n v="373958.903225806"/>
        <n v="151503.375"/>
        <n v="199253.25"/>
        <n v="306029.745967742"/>
        <n v="158462.5"/>
        <n v="189433.166666667"/>
        <n v="214613.041666667"/>
        <n v="149047.458333333"/>
        <n v="171551.041666667"/>
        <n v="169395.458333333"/>
        <n v="191673.714285714"/>
        <n v="169187.5"/>
        <n v="151959.785714286"/>
        <n v="146899.642857143"/>
        <n v="140892.675"/>
        <n v="138294.473684211"/>
        <n v="123523.275"/>
        <n v="176205.285714286"/>
        <n v="214662.075"/>
        <n v="146695.928571429"/>
        <n v="181447.357142857"/>
        <n v="186618.428571429"/>
        <n v="132434.4"/>
        <n v="150715.815789474"/>
        <n v="156574.714285714"/>
        <n v="175698.608108108"/>
        <n v="136000.125"/>
        <n v="245902.337837838"/>
        <n v="136906.35"/>
        <n v="184915"/>
        <n v="164917.054054054"/>
        <n v="169602.642857143"/>
        <n v="142665.525"/>
        <n v="169004.642857143"/>
        <n v="152445.642857143"/>
        <n v="139738.285714286"/>
        <n v="164252.5"/>
        <n v="173658.847826087"/>
        <n v="202565.522727273"/>
        <n v="176985.477272727"/>
        <n v="106761.7"/>
        <n v="85302.9375"/>
        <n v="91838.5"/>
        <n v="81528.8"/>
        <n v="72347.4"/>
        <n v="74399.5"/>
        <n v="70214.7"/>
        <n v="87596.0294117647"/>
        <n v="97722.8"/>
        <n v="74922"/>
        <n v="81220.6764705882"/>
        <n v="89390.90625"/>
        <n v="92278.6"/>
        <n v="73525.8"/>
        <n v="82900.5"/>
        <n v="74667.3"/>
        <n v="81403.8"/>
        <n v="109058.911764706"/>
        <n v="88698.0882352941"/>
        <n v="73537.9"/>
        <n v="98102.5"/>
        <n v="84652.4"/>
        <n v="74926.3"/>
        <n v="91064.6470588235"/>
        <n v="81002.2"/>
        <n v="93536.5"/>
        <n v="70699.3"/>
        <n v="72081.1"/>
        <n v="40723.7"/>
        <n v="131161.916666667"/>
        <n v="28882.9"/>
        <n v="76803.6"/>
        <n v="33704.8"/>
        <n v="65975.5"/>
        <n v="73574.9"/>
        <n v="73657.2"/>
        <n v="46306.2"/>
        <n v="126504"/>
        <n v="63327.5"/>
        <n v="93654.0882352941"/>
        <n v="44353.5"/>
        <n v="144544.235294118"/>
        <n v="49286.1"/>
        <n v="87671.7"/>
        <n v="87525.1764705882"/>
        <n v="82045.8"/>
        <n v="26979.4"/>
        <n v="79885.7"/>
        <n v="53250.6"/>
        <n v="51285.1"/>
        <n v="78991"/>
        <n v="153835.973684211"/>
        <n v="128764.736842105"/>
        <n v="128191.184210526"/>
        <n v="125523"/>
        <n v="113456.210526316"/>
        <n v="88571.1315789474"/>
        <n v="120540.15"/>
        <n v="166763.684210526"/>
        <n v="118061.052631579"/>
        <n v="115733.447368421"/>
        <n v="132671.526315789"/>
        <n v="125280.710526316"/>
        <n v="119139.552631579"/>
        <n v="83549.34375"/>
        <n v="100345.105263158"/>
        <n v="100568.15625"/>
        <n v="113650.026315789"/>
        <n v="162586.342105263"/>
        <n v="77484.1875"/>
        <n v="125640.15"/>
        <n v="134741.052631579"/>
        <n v="145645.815789474"/>
        <n v="117682.105263158"/>
        <n v="121491.394736842"/>
        <n v="132995.210526316"/>
        <n v="366361.576271186"/>
        <n v="357879.63559322"/>
        <n v="133063.071428571"/>
        <n v="150266.7"/>
        <n v="127960.575"/>
        <n v="394823.05"/>
        <n v="365764.3"/>
        <n v="325773.1"/>
        <n v="325739.516949153"/>
        <n v="411732.508474576"/>
        <n v="386507.25"/>
        <n v="332633.288135593"/>
        <n v="426498.838983051"/>
        <n v="430734.762711864"/>
        <n v="320086.325"/>
        <n v="370888.25"/>
        <n v="365988.1"/>
        <n v="371515.855932203"/>
        <n v="370430.805555556"/>
        <n v="323954.55"/>
        <n v="449021.669491525"/>
        <n v="390389.694915254"/>
        <n v="476515.175"/>
        <n v="348860.059322034"/>
        <n v="381864.406779661"/>
        <n v="421871.262711864"/>
        <n v="404778.788135593"/>
        <n v="380680.169491525"/>
        <n v="332663.35"/>
        <n v="413987.75"/>
        <n v="381297.638888889"/>
        <n v="341649.833333333"/>
        <n v="334922.194444444"/>
        <n v="422163.472222222"/>
        <n v="344924.472222222"/>
        <n v="441784.166666667"/>
        <n v="443584"/>
        <n v="346630.305555556"/>
        <n v="389679.138888889"/>
        <n v="396506.472222222"/>
        <n v="386669.305555556"/>
        <n v="347851.861111111"/>
        <n v="365852.822033898"/>
        <n v="472575.416666667"/>
        <n v="415716.025423729"/>
        <n v="409748.972222222"/>
        <n v="496419"/>
        <n v="342262.225"/>
        <n v="366794.944444444"/>
        <n v="402601.111111111"/>
        <n v="434143.055555556"/>
        <n v="423075.527777778"/>
        <n v="397463.388888889"/>
        <n v="353168.833333333"/>
        <n v="65434.6"/>
        <n v="66169.4"/>
        <n v="383652.75"/>
        <n v="447258.888888889"/>
        <n v="362019.194444444"/>
        <n v="82271.90625"/>
        <n v="66282.9705882353"/>
        <n v="72345.5625"/>
        <n v="63720.1"/>
        <n v="60422.9"/>
        <n v="54457.3"/>
        <n v="119116.5"/>
        <n v="75629.6"/>
        <n v="72818.5"/>
        <n v="65143"/>
        <n v="71632.3235294118"/>
        <n v="76371.7"/>
        <n v="78179.4"/>
        <n v="54410"/>
        <n v="67771.1"/>
        <n v="80966.1666666667"/>
        <n v="73705.8333333333"/>
        <n v="66967.4"/>
        <n v="81103.8"/>
        <n v="69789.9"/>
        <n v="64392"/>
        <n v="77014.5833333333"/>
        <n v="67247.5833333333"/>
        <n v="42423"/>
        <n v="54877"/>
        <n v="132667.928571429"/>
        <n v="43415.8"/>
        <n v="99238.5"/>
        <n v="150787.575"/>
        <n v="147193.785714286"/>
        <n v="78139.25"/>
        <n v="118066.5"/>
        <n v="98508.5833333333"/>
        <n v="77080.1666666667"/>
        <n v="134589.5"/>
        <n v="128720.571428571"/>
        <n v="144680.642857143"/>
        <n v="140239.785714286"/>
        <n v="123717.642857143"/>
        <n v="159658.35"/>
        <n v="216163.983870968"/>
        <n v="249305.322580645"/>
        <n v="220320.048387097"/>
        <n v="79078.3333333333"/>
        <n v="206410.306451613"/>
        <n v="213216.580645161"/>
        <n v="195279"/>
        <n v="221821.112903226"/>
        <n v="105479.85"/>
        <n v="145504.95"/>
        <n v="100774.2"/>
        <n v="73433.55"/>
        <n v="238294.064516129"/>
        <n v="93642.75"/>
        <n v="98156.4"/>
        <n v="115057.95"/>
        <n v="127346.4"/>
        <n v="146206.65"/>
        <n v="170709"/>
        <n v="150675.6"/>
        <n v="205893.631578947"/>
        <n v="136218.315789474"/>
        <n v="128501.052631579"/>
        <n v="155214.631578947"/>
        <n v="162902.7"/>
        <n v="226798.395348837"/>
        <n v="228416.813953488"/>
        <n v="216953.84765625"/>
        <n v="190916.536619767"/>
        <n v="213451.815097674"/>
        <n v="218459.627906977"/>
        <n v="250808.76744186"/>
        <n v="314797.27016129"/>
        <n v="315986.988"/>
        <n v="302909.269767073"/>
        <n v="270252.648"/>
        <n v="323776.279883721"/>
        <n v="295015.104"/>
        <n v="303705.204"/>
        <n v="338171.016"/>
        <n v="166274.833333333"/>
        <n v="165096.916666667"/>
        <n v="156764.594594595"/>
        <n v="143838.041666667"/>
        <n v="436871.201612903"/>
        <n v="161068.791666667"/>
        <n v="149072.291666667"/>
        <n v="174832"/>
        <n v="180040.571428571"/>
        <n v="230515.857142857"/>
        <n v="168054.391304348"/>
        <n v="146649.071428571"/>
        <n v="195362.027027027"/>
        <n v="160006.428571429"/>
        <n v="150784.714285714"/>
        <n v="179631.357142857"/>
        <n v="186754.363636364"/>
        <n v="94299.0882352941"/>
        <n v="104372.294117647"/>
        <n v="89800.5"/>
        <n v="73066.8"/>
        <n v="77885.15625"/>
        <n v="81566.1"/>
        <n v="91365.5"/>
        <n v="80763.8"/>
        <n v="94127.3"/>
        <n v="97852.03125"/>
        <n v="72077.2"/>
        <n v="103804.058823529"/>
        <n v="74343.1"/>
        <n v="64233.5"/>
        <n v="74848.7"/>
        <n v="122927.775"/>
        <n v="133721.842105263"/>
        <n v="120903.214285714"/>
        <n v="113913.947368421"/>
        <n v="96813.75"/>
        <n v="122341.578947368"/>
        <n v="117123.236842105"/>
        <n v="130394.052631579"/>
        <n v="142737.075"/>
        <n v="378683.059322034"/>
        <n v="373012.875"/>
        <n v="329921.56779661"/>
        <n v="298652.4"/>
        <n v="340373.925"/>
        <n v="332373.925"/>
        <n v="384753.7"/>
        <n v="388024.527777778"/>
        <n v="385418.25"/>
        <n v="350262.861111111"/>
        <n v="314282.055555556"/>
        <n v="391871.923728814"/>
        <n v="367687.444444444"/>
        <n v="345203.666666667"/>
        <n v="405468.416666667"/>
        <n v="415113.916666667"/>
        <n v="98240.5714285714"/>
        <n v="77709.5"/>
        <n v="43223.6666666667"/>
        <n v="58690.4"/>
        <n v="76919.4375"/>
        <n v="70729.78125"/>
        <n v="68190"/>
        <n v="75011.0833333333"/>
        <n v="68482"/>
        <n v="121548.642857143"/>
        <n v="114635.357142857"/>
        <n v="79903.0833333333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x v="0"/>
    <x v="0"/>
    <x v="0"/>
    <x v="0"/>
    <x v="0"/>
    <x v="0"/>
    <x v="0"/>
    <x v="0"/>
    <x v="0"/>
  </r>
  <r>
    <x v="1"/>
    <x v="0"/>
    <x v="1"/>
    <x v="1"/>
    <x v="0"/>
    <x v="1"/>
    <x v="1"/>
    <x v="1"/>
    <x v="0"/>
  </r>
  <r>
    <x v="2"/>
    <x v="0"/>
    <x v="2"/>
    <x v="2"/>
    <x v="0"/>
    <x v="2"/>
    <x v="2"/>
    <x v="2"/>
    <x v="0"/>
  </r>
  <r>
    <x v="3"/>
    <x v="1"/>
    <x v="3"/>
    <x v="3"/>
    <x v="1"/>
    <x v="3"/>
    <x v="3"/>
    <x v="3"/>
    <x v="1"/>
  </r>
  <r>
    <x v="4"/>
    <x v="1"/>
    <x v="4"/>
    <x v="4"/>
    <x v="1"/>
    <x v="4"/>
    <x v="4"/>
    <x v="4"/>
    <x v="2"/>
  </r>
  <r>
    <x v="5"/>
    <x v="1"/>
    <x v="5"/>
    <x v="5"/>
    <x v="1"/>
    <x v="5"/>
    <x v="5"/>
    <x v="5"/>
    <x v="1"/>
  </r>
  <r>
    <x v="6"/>
    <x v="1"/>
    <x v="6"/>
    <x v="6"/>
    <x v="1"/>
    <x v="6"/>
    <x v="6"/>
    <x v="6"/>
    <x v="3"/>
  </r>
  <r>
    <x v="7"/>
    <x v="1"/>
    <x v="7"/>
    <x v="7"/>
    <x v="2"/>
    <x v="7"/>
    <x v="7"/>
    <x v="7"/>
    <x v="3"/>
  </r>
  <r>
    <x v="8"/>
    <x v="1"/>
    <x v="8"/>
    <x v="8"/>
    <x v="3"/>
    <x v="8"/>
    <x v="8"/>
    <x v="8"/>
    <x v="4"/>
  </r>
  <r>
    <x v="9"/>
    <x v="1"/>
    <x v="9"/>
    <x v="9"/>
    <x v="3"/>
    <x v="9"/>
    <x v="9"/>
    <x v="9"/>
    <x v="4"/>
  </r>
  <r>
    <x v="10"/>
    <x v="1"/>
    <x v="10"/>
    <x v="10"/>
    <x v="2"/>
    <x v="10"/>
    <x v="10"/>
    <x v="10"/>
    <x v="0"/>
  </r>
  <r>
    <x v="11"/>
    <x v="1"/>
    <x v="11"/>
    <x v="11"/>
    <x v="3"/>
    <x v="11"/>
    <x v="11"/>
    <x v="11"/>
    <x v="4"/>
  </r>
  <r>
    <x v="12"/>
    <x v="1"/>
    <x v="12"/>
    <x v="12"/>
    <x v="1"/>
    <x v="12"/>
    <x v="12"/>
    <x v="12"/>
    <x v="1"/>
  </r>
  <r>
    <x v="13"/>
    <x v="1"/>
    <x v="13"/>
    <x v="13"/>
    <x v="1"/>
    <x v="13"/>
    <x v="13"/>
    <x v="13"/>
    <x v="2"/>
  </r>
  <r>
    <x v="14"/>
    <x v="1"/>
    <x v="14"/>
    <x v="14"/>
    <x v="1"/>
    <x v="14"/>
    <x v="14"/>
    <x v="14"/>
    <x v="2"/>
  </r>
  <r>
    <x v="15"/>
    <x v="1"/>
    <x v="15"/>
    <x v="15"/>
    <x v="2"/>
    <x v="15"/>
    <x v="15"/>
    <x v="15"/>
    <x v="3"/>
  </r>
  <r>
    <x v="16"/>
    <x v="1"/>
    <x v="16"/>
    <x v="16"/>
    <x v="3"/>
    <x v="16"/>
    <x v="16"/>
    <x v="16"/>
    <x v="4"/>
  </r>
  <r>
    <x v="17"/>
    <x v="1"/>
    <x v="17"/>
    <x v="17"/>
    <x v="1"/>
    <x v="17"/>
    <x v="17"/>
    <x v="17"/>
    <x v="1"/>
  </r>
  <r>
    <x v="18"/>
    <x v="1"/>
    <x v="18"/>
    <x v="18"/>
    <x v="2"/>
    <x v="18"/>
    <x v="18"/>
    <x v="18"/>
    <x v="4"/>
  </r>
  <r>
    <x v="19"/>
    <x v="1"/>
    <x v="19"/>
    <x v="19"/>
    <x v="2"/>
    <x v="19"/>
    <x v="19"/>
    <x v="19"/>
    <x v="3"/>
  </r>
  <r>
    <x v="20"/>
    <x v="1"/>
    <x v="20"/>
    <x v="20"/>
    <x v="1"/>
    <x v="20"/>
    <x v="20"/>
    <x v="20"/>
    <x v="2"/>
  </r>
  <r>
    <x v="21"/>
    <x v="1"/>
    <x v="21"/>
    <x v="21"/>
    <x v="2"/>
    <x v="21"/>
    <x v="21"/>
    <x v="21"/>
    <x v="0"/>
  </r>
  <r>
    <x v="22"/>
    <x v="1"/>
    <x v="22"/>
    <x v="22"/>
    <x v="4"/>
    <x v="22"/>
    <x v="22"/>
    <x v="22"/>
    <x v="4"/>
  </r>
  <r>
    <x v="23"/>
    <x v="1"/>
    <x v="23"/>
    <x v="23"/>
    <x v="1"/>
    <x v="23"/>
    <x v="23"/>
    <x v="23"/>
    <x v="3"/>
  </r>
  <r>
    <x v="24"/>
    <x v="1"/>
    <x v="24"/>
    <x v="24"/>
    <x v="1"/>
    <x v="24"/>
    <x v="24"/>
    <x v="24"/>
    <x v="3"/>
  </r>
  <r>
    <x v="25"/>
    <x v="1"/>
    <x v="25"/>
    <x v="25"/>
    <x v="1"/>
    <x v="25"/>
    <x v="25"/>
    <x v="25"/>
    <x v="3"/>
  </r>
  <r>
    <x v="26"/>
    <x v="1"/>
    <x v="26"/>
    <x v="26"/>
    <x v="2"/>
    <x v="26"/>
    <x v="26"/>
    <x v="26"/>
    <x v="2"/>
  </r>
  <r>
    <x v="0"/>
    <x v="1"/>
    <x v="27"/>
    <x v="27"/>
    <x v="1"/>
    <x v="27"/>
    <x v="27"/>
    <x v="27"/>
    <x v="0"/>
  </r>
  <r>
    <x v="1"/>
    <x v="1"/>
    <x v="28"/>
    <x v="28"/>
    <x v="2"/>
    <x v="28"/>
    <x v="28"/>
    <x v="28"/>
    <x v="0"/>
  </r>
  <r>
    <x v="2"/>
    <x v="1"/>
    <x v="29"/>
    <x v="29"/>
    <x v="2"/>
    <x v="29"/>
    <x v="29"/>
    <x v="29"/>
    <x v="0"/>
  </r>
  <r>
    <x v="3"/>
    <x v="2"/>
    <x v="30"/>
    <x v="30"/>
    <x v="5"/>
    <x v="30"/>
    <x v="30"/>
    <x v="30"/>
    <x v="1"/>
  </r>
  <r>
    <x v="4"/>
    <x v="2"/>
    <x v="31"/>
    <x v="31"/>
    <x v="5"/>
    <x v="31"/>
    <x v="31"/>
    <x v="31"/>
    <x v="2"/>
  </r>
  <r>
    <x v="5"/>
    <x v="2"/>
    <x v="32"/>
    <x v="32"/>
    <x v="5"/>
    <x v="32"/>
    <x v="32"/>
    <x v="32"/>
    <x v="1"/>
  </r>
  <r>
    <x v="6"/>
    <x v="2"/>
    <x v="33"/>
    <x v="33"/>
    <x v="5"/>
    <x v="33"/>
    <x v="33"/>
    <x v="33"/>
    <x v="3"/>
  </r>
  <r>
    <x v="7"/>
    <x v="2"/>
    <x v="34"/>
    <x v="34"/>
    <x v="5"/>
    <x v="34"/>
    <x v="34"/>
    <x v="34"/>
    <x v="3"/>
  </r>
  <r>
    <x v="8"/>
    <x v="2"/>
    <x v="35"/>
    <x v="35"/>
    <x v="5"/>
    <x v="35"/>
    <x v="35"/>
    <x v="35"/>
    <x v="4"/>
  </r>
  <r>
    <x v="9"/>
    <x v="2"/>
    <x v="36"/>
    <x v="36"/>
    <x v="5"/>
    <x v="36"/>
    <x v="36"/>
    <x v="36"/>
    <x v="4"/>
  </r>
  <r>
    <x v="10"/>
    <x v="2"/>
    <x v="37"/>
    <x v="37"/>
    <x v="5"/>
    <x v="37"/>
    <x v="37"/>
    <x v="37"/>
    <x v="0"/>
  </r>
  <r>
    <x v="11"/>
    <x v="2"/>
    <x v="38"/>
    <x v="38"/>
    <x v="5"/>
    <x v="38"/>
    <x v="38"/>
    <x v="38"/>
    <x v="4"/>
  </r>
  <r>
    <x v="12"/>
    <x v="2"/>
    <x v="39"/>
    <x v="39"/>
    <x v="5"/>
    <x v="39"/>
    <x v="39"/>
    <x v="39"/>
    <x v="1"/>
  </r>
  <r>
    <x v="13"/>
    <x v="2"/>
    <x v="40"/>
    <x v="40"/>
    <x v="5"/>
    <x v="40"/>
    <x v="40"/>
    <x v="40"/>
    <x v="2"/>
  </r>
  <r>
    <x v="14"/>
    <x v="2"/>
    <x v="41"/>
    <x v="41"/>
    <x v="5"/>
    <x v="41"/>
    <x v="41"/>
    <x v="41"/>
    <x v="2"/>
  </r>
  <r>
    <x v="15"/>
    <x v="2"/>
    <x v="42"/>
    <x v="42"/>
    <x v="5"/>
    <x v="42"/>
    <x v="42"/>
    <x v="42"/>
    <x v="3"/>
  </r>
  <r>
    <x v="16"/>
    <x v="2"/>
    <x v="43"/>
    <x v="43"/>
    <x v="5"/>
    <x v="43"/>
    <x v="43"/>
    <x v="43"/>
    <x v="4"/>
  </r>
  <r>
    <x v="17"/>
    <x v="2"/>
    <x v="44"/>
    <x v="44"/>
    <x v="5"/>
    <x v="44"/>
    <x v="44"/>
    <x v="44"/>
    <x v="1"/>
  </r>
  <r>
    <x v="18"/>
    <x v="2"/>
    <x v="45"/>
    <x v="45"/>
    <x v="5"/>
    <x v="45"/>
    <x v="45"/>
    <x v="45"/>
    <x v="4"/>
  </r>
  <r>
    <x v="19"/>
    <x v="2"/>
    <x v="46"/>
    <x v="46"/>
    <x v="5"/>
    <x v="46"/>
    <x v="46"/>
    <x v="46"/>
    <x v="3"/>
  </r>
  <r>
    <x v="20"/>
    <x v="2"/>
    <x v="47"/>
    <x v="47"/>
    <x v="5"/>
    <x v="47"/>
    <x v="47"/>
    <x v="47"/>
    <x v="2"/>
  </r>
  <r>
    <x v="21"/>
    <x v="2"/>
    <x v="48"/>
    <x v="48"/>
    <x v="5"/>
    <x v="48"/>
    <x v="48"/>
    <x v="48"/>
    <x v="0"/>
  </r>
  <r>
    <x v="22"/>
    <x v="2"/>
    <x v="49"/>
    <x v="49"/>
    <x v="5"/>
    <x v="49"/>
    <x v="49"/>
    <x v="49"/>
    <x v="4"/>
  </r>
  <r>
    <x v="23"/>
    <x v="2"/>
    <x v="50"/>
    <x v="50"/>
    <x v="5"/>
    <x v="50"/>
    <x v="50"/>
    <x v="50"/>
    <x v="3"/>
  </r>
  <r>
    <x v="24"/>
    <x v="2"/>
    <x v="51"/>
    <x v="51"/>
    <x v="5"/>
    <x v="51"/>
    <x v="51"/>
    <x v="51"/>
    <x v="3"/>
  </r>
  <r>
    <x v="25"/>
    <x v="2"/>
    <x v="52"/>
    <x v="52"/>
    <x v="5"/>
    <x v="52"/>
    <x v="52"/>
    <x v="52"/>
    <x v="3"/>
  </r>
  <r>
    <x v="26"/>
    <x v="2"/>
    <x v="53"/>
    <x v="53"/>
    <x v="5"/>
    <x v="53"/>
    <x v="53"/>
    <x v="53"/>
    <x v="2"/>
  </r>
  <r>
    <x v="3"/>
    <x v="3"/>
    <x v="54"/>
    <x v="54"/>
    <x v="6"/>
    <x v="54"/>
    <x v="54"/>
    <x v="54"/>
    <x v="1"/>
  </r>
  <r>
    <x v="4"/>
    <x v="3"/>
    <x v="55"/>
    <x v="55"/>
    <x v="6"/>
    <x v="55"/>
    <x v="55"/>
    <x v="55"/>
    <x v="2"/>
  </r>
  <r>
    <x v="5"/>
    <x v="3"/>
    <x v="56"/>
    <x v="56"/>
    <x v="6"/>
    <x v="56"/>
    <x v="56"/>
    <x v="56"/>
    <x v="1"/>
  </r>
  <r>
    <x v="6"/>
    <x v="3"/>
    <x v="57"/>
    <x v="57"/>
    <x v="6"/>
    <x v="57"/>
    <x v="57"/>
    <x v="57"/>
    <x v="3"/>
  </r>
  <r>
    <x v="7"/>
    <x v="3"/>
    <x v="58"/>
    <x v="58"/>
    <x v="6"/>
    <x v="58"/>
    <x v="58"/>
    <x v="58"/>
    <x v="3"/>
  </r>
  <r>
    <x v="8"/>
    <x v="3"/>
    <x v="59"/>
    <x v="59"/>
    <x v="6"/>
    <x v="59"/>
    <x v="59"/>
    <x v="59"/>
    <x v="4"/>
  </r>
  <r>
    <x v="9"/>
    <x v="3"/>
    <x v="60"/>
    <x v="60"/>
    <x v="6"/>
    <x v="60"/>
    <x v="60"/>
    <x v="60"/>
    <x v="4"/>
  </r>
  <r>
    <x v="10"/>
    <x v="3"/>
    <x v="61"/>
    <x v="61"/>
    <x v="6"/>
    <x v="61"/>
    <x v="61"/>
    <x v="61"/>
    <x v="0"/>
  </r>
  <r>
    <x v="11"/>
    <x v="3"/>
    <x v="62"/>
    <x v="62"/>
    <x v="6"/>
    <x v="62"/>
    <x v="62"/>
    <x v="62"/>
    <x v="4"/>
  </r>
  <r>
    <x v="12"/>
    <x v="3"/>
    <x v="63"/>
    <x v="63"/>
    <x v="6"/>
    <x v="63"/>
    <x v="63"/>
    <x v="63"/>
    <x v="1"/>
  </r>
  <r>
    <x v="13"/>
    <x v="3"/>
    <x v="64"/>
    <x v="64"/>
    <x v="6"/>
    <x v="64"/>
    <x v="64"/>
    <x v="64"/>
    <x v="2"/>
  </r>
  <r>
    <x v="14"/>
    <x v="3"/>
    <x v="65"/>
    <x v="65"/>
    <x v="6"/>
    <x v="65"/>
    <x v="65"/>
    <x v="65"/>
    <x v="2"/>
  </r>
  <r>
    <x v="15"/>
    <x v="3"/>
    <x v="66"/>
    <x v="66"/>
    <x v="6"/>
    <x v="66"/>
    <x v="66"/>
    <x v="66"/>
    <x v="3"/>
  </r>
  <r>
    <x v="16"/>
    <x v="3"/>
    <x v="67"/>
    <x v="67"/>
    <x v="6"/>
    <x v="67"/>
    <x v="67"/>
    <x v="67"/>
    <x v="4"/>
  </r>
  <r>
    <x v="17"/>
    <x v="3"/>
    <x v="68"/>
    <x v="68"/>
    <x v="6"/>
    <x v="68"/>
    <x v="68"/>
    <x v="68"/>
    <x v="1"/>
  </r>
  <r>
    <x v="0"/>
    <x v="2"/>
    <x v="69"/>
    <x v="69"/>
    <x v="5"/>
    <x v="69"/>
    <x v="69"/>
    <x v="69"/>
    <x v="0"/>
  </r>
  <r>
    <x v="18"/>
    <x v="3"/>
    <x v="70"/>
    <x v="70"/>
    <x v="6"/>
    <x v="70"/>
    <x v="70"/>
    <x v="70"/>
    <x v="4"/>
  </r>
  <r>
    <x v="1"/>
    <x v="2"/>
    <x v="71"/>
    <x v="71"/>
    <x v="5"/>
    <x v="71"/>
    <x v="71"/>
    <x v="71"/>
    <x v="0"/>
  </r>
  <r>
    <x v="19"/>
    <x v="3"/>
    <x v="72"/>
    <x v="72"/>
    <x v="6"/>
    <x v="72"/>
    <x v="2"/>
    <x v="72"/>
    <x v="3"/>
  </r>
  <r>
    <x v="20"/>
    <x v="3"/>
    <x v="73"/>
    <x v="73"/>
    <x v="6"/>
    <x v="73"/>
    <x v="72"/>
    <x v="73"/>
    <x v="2"/>
  </r>
  <r>
    <x v="2"/>
    <x v="2"/>
    <x v="74"/>
    <x v="74"/>
    <x v="5"/>
    <x v="74"/>
    <x v="73"/>
    <x v="74"/>
    <x v="0"/>
  </r>
  <r>
    <x v="21"/>
    <x v="3"/>
    <x v="75"/>
    <x v="75"/>
    <x v="6"/>
    <x v="75"/>
    <x v="74"/>
    <x v="75"/>
    <x v="0"/>
  </r>
  <r>
    <x v="22"/>
    <x v="3"/>
    <x v="76"/>
    <x v="76"/>
    <x v="6"/>
    <x v="76"/>
    <x v="75"/>
    <x v="76"/>
    <x v="4"/>
  </r>
  <r>
    <x v="23"/>
    <x v="3"/>
    <x v="77"/>
    <x v="77"/>
    <x v="6"/>
    <x v="77"/>
    <x v="76"/>
    <x v="77"/>
    <x v="3"/>
  </r>
  <r>
    <x v="24"/>
    <x v="3"/>
    <x v="78"/>
    <x v="78"/>
    <x v="6"/>
    <x v="78"/>
    <x v="77"/>
    <x v="78"/>
    <x v="3"/>
  </r>
  <r>
    <x v="25"/>
    <x v="3"/>
    <x v="79"/>
    <x v="79"/>
    <x v="6"/>
    <x v="79"/>
    <x v="78"/>
    <x v="79"/>
    <x v="3"/>
  </r>
  <r>
    <x v="26"/>
    <x v="3"/>
    <x v="80"/>
    <x v="80"/>
    <x v="6"/>
    <x v="80"/>
    <x v="79"/>
    <x v="80"/>
    <x v="2"/>
  </r>
  <r>
    <x v="0"/>
    <x v="3"/>
    <x v="81"/>
    <x v="81"/>
    <x v="6"/>
    <x v="81"/>
    <x v="80"/>
    <x v="81"/>
    <x v="0"/>
  </r>
  <r>
    <x v="1"/>
    <x v="3"/>
    <x v="82"/>
    <x v="82"/>
    <x v="6"/>
    <x v="82"/>
    <x v="81"/>
    <x v="82"/>
    <x v="0"/>
  </r>
  <r>
    <x v="2"/>
    <x v="3"/>
    <x v="83"/>
    <x v="83"/>
    <x v="6"/>
    <x v="83"/>
    <x v="82"/>
    <x v="83"/>
    <x v="0"/>
  </r>
  <r>
    <x v="3"/>
    <x v="4"/>
    <x v="84"/>
    <x v="84"/>
    <x v="4"/>
    <x v="84"/>
    <x v="83"/>
    <x v="84"/>
    <x v="1"/>
  </r>
  <r>
    <x v="4"/>
    <x v="4"/>
    <x v="85"/>
    <x v="85"/>
    <x v="4"/>
    <x v="26"/>
    <x v="84"/>
    <x v="85"/>
    <x v="2"/>
  </r>
  <r>
    <x v="5"/>
    <x v="4"/>
    <x v="86"/>
    <x v="86"/>
    <x v="4"/>
    <x v="85"/>
    <x v="85"/>
    <x v="86"/>
    <x v="1"/>
  </r>
  <r>
    <x v="6"/>
    <x v="4"/>
    <x v="87"/>
    <x v="87"/>
    <x v="4"/>
    <x v="86"/>
    <x v="86"/>
    <x v="87"/>
    <x v="3"/>
  </r>
  <r>
    <x v="7"/>
    <x v="4"/>
    <x v="88"/>
    <x v="88"/>
    <x v="4"/>
    <x v="87"/>
    <x v="87"/>
    <x v="88"/>
    <x v="3"/>
  </r>
  <r>
    <x v="8"/>
    <x v="4"/>
    <x v="89"/>
    <x v="89"/>
    <x v="3"/>
    <x v="88"/>
    <x v="88"/>
    <x v="89"/>
    <x v="4"/>
  </r>
  <r>
    <x v="9"/>
    <x v="4"/>
    <x v="90"/>
    <x v="90"/>
    <x v="4"/>
    <x v="89"/>
    <x v="89"/>
    <x v="90"/>
    <x v="4"/>
  </r>
  <r>
    <x v="10"/>
    <x v="4"/>
    <x v="91"/>
    <x v="91"/>
    <x v="2"/>
    <x v="90"/>
    <x v="90"/>
    <x v="91"/>
    <x v="0"/>
  </r>
  <r>
    <x v="11"/>
    <x v="4"/>
    <x v="92"/>
    <x v="92"/>
    <x v="4"/>
    <x v="91"/>
    <x v="91"/>
    <x v="92"/>
    <x v="4"/>
  </r>
  <r>
    <x v="12"/>
    <x v="4"/>
    <x v="93"/>
    <x v="93"/>
    <x v="4"/>
    <x v="92"/>
    <x v="92"/>
    <x v="93"/>
    <x v="1"/>
  </r>
  <r>
    <x v="13"/>
    <x v="4"/>
    <x v="94"/>
    <x v="94"/>
    <x v="4"/>
    <x v="93"/>
    <x v="93"/>
    <x v="94"/>
    <x v="2"/>
  </r>
  <r>
    <x v="14"/>
    <x v="4"/>
    <x v="95"/>
    <x v="95"/>
    <x v="4"/>
    <x v="94"/>
    <x v="94"/>
    <x v="95"/>
    <x v="2"/>
  </r>
  <r>
    <x v="15"/>
    <x v="4"/>
    <x v="96"/>
    <x v="96"/>
    <x v="4"/>
    <x v="95"/>
    <x v="95"/>
    <x v="96"/>
    <x v="3"/>
  </r>
  <r>
    <x v="16"/>
    <x v="4"/>
    <x v="97"/>
    <x v="97"/>
    <x v="7"/>
    <x v="96"/>
    <x v="96"/>
    <x v="97"/>
    <x v="4"/>
  </r>
  <r>
    <x v="17"/>
    <x v="4"/>
    <x v="98"/>
    <x v="98"/>
    <x v="4"/>
    <x v="97"/>
    <x v="97"/>
    <x v="98"/>
    <x v="1"/>
  </r>
  <r>
    <x v="18"/>
    <x v="4"/>
    <x v="99"/>
    <x v="99"/>
    <x v="4"/>
    <x v="98"/>
    <x v="98"/>
    <x v="99"/>
    <x v="4"/>
  </r>
  <r>
    <x v="19"/>
    <x v="4"/>
    <x v="100"/>
    <x v="100"/>
    <x v="4"/>
    <x v="99"/>
    <x v="99"/>
    <x v="100"/>
    <x v="3"/>
  </r>
  <r>
    <x v="20"/>
    <x v="4"/>
    <x v="101"/>
    <x v="101"/>
    <x v="2"/>
    <x v="100"/>
    <x v="100"/>
    <x v="101"/>
    <x v="2"/>
  </r>
  <r>
    <x v="21"/>
    <x v="4"/>
    <x v="102"/>
    <x v="102"/>
    <x v="2"/>
    <x v="101"/>
    <x v="101"/>
    <x v="102"/>
    <x v="0"/>
  </r>
  <r>
    <x v="22"/>
    <x v="4"/>
    <x v="103"/>
    <x v="103"/>
    <x v="4"/>
    <x v="99"/>
    <x v="102"/>
    <x v="103"/>
    <x v="4"/>
  </r>
  <r>
    <x v="23"/>
    <x v="4"/>
    <x v="104"/>
    <x v="104"/>
    <x v="4"/>
    <x v="102"/>
    <x v="103"/>
    <x v="104"/>
    <x v="3"/>
  </r>
  <r>
    <x v="24"/>
    <x v="4"/>
    <x v="105"/>
    <x v="105"/>
    <x v="4"/>
    <x v="103"/>
    <x v="104"/>
    <x v="105"/>
    <x v="3"/>
  </r>
  <r>
    <x v="25"/>
    <x v="4"/>
    <x v="106"/>
    <x v="106"/>
    <x v="4"/>
    <x v="104"/>
    <x v="105"/>
    <x v="106"/>
    <x v="3"/>
  </r>
  <r>
    <x v="26"/>
    <x v="4"/>
    <x v="107"/>
    <x v="107"/>
    <x v="2"/>
    <x v="105"/>
    <x v="106"/>
    <x v="107"/>
    <x v="2"/>
  </r>
  <r>
    <x v="0"/>
    <x v="4"/>
    <x v="108"/>
    <x v="108"/>
    <x v="2"/>
    <x v="106"/>
    <x v="107"/>
    <x v="108"/>
    <x v="0"/>
  </r>
  <r>
    <x v="1"/>
    <x v="4"/>
    <x v="109"/>
    <x v="109"/>
    <x v="2"/>
    <x v="107"/>
    <x v="108"/>
    <x v="109"/>
    <x v="0"/>
  </r>
  <r>
    <x v="2"/>
    <x v="4"/>
    <x v="110"/>
    <x v="110"/>
    <x v="2"/>
    <x v="108"/>
    <x v="109"/>
    <x v="110"/>
    <x v="0"/>
  </r>
  <r>
    <x v="3"/>
    <x v="5"/>
    <x v="111"/>
    <x v="111"/>
    <x v="8"/>
    <x v="109"/>
    <x v="110"/>
    <x v="111"/>
    <x v="1"/>
  </r>
  <r>
    <x v="4"/>
    <x v="5"/>
    <x v="112"/>
    <x v="112"/>
    <x v="8"/>
    <x v="110"/>
    <x v="111"/>
    <x v="112"/>
    <x v="2"/>
  </r>
  <r>
    <x v="5"/>
    <x v="5"/>
    <x v="113"/>
    <x v="113"/>
    <x v="8"/>
    <x v="111"/>
    <x v="112"/>
    <x v="113"/>
    <x v="1"/>
  </r>
  <r>
    <x v="6"/>
    <x v="5"/>
    <x v="114"/>
    <x v="114"/>
    <x v="8"/>
    <x v="112"/>
    <x v="113"/>
    <x v="114"/>
    <x v="3"/>
  </r>
  <r>
    <x v="7"/>
    <x v="5"/>
    <x v="115"/>
    <x v="115"/>
    <x v="8"/>
    <x v="113"/>
    <x v="114"/>
    <x v="115"/>
    <x v="3"/>
  </r>
  <r>
    <x v="8"/>
    <x v="5"/>
    <x v="116"/>
    <x v="116"/>
    <x v="9"/>
    <x v="114"/>
    <x v="115"/>
    <x v="116"/>
    <x v="4"/>
  </r>
  <r>
    <x v="9"/>
    <x v="5"/>
    <x v="117"/>
    <x v="117"/>
    <x v="8"/>
    <x v="115"/>
    <x v="116"/>
    <x v="117"/>
    <x v="4"/>
  </r>
  <r>
    <x v="10"/>
    <x v="5"/>
    <x v="118"/>
    <x v="118"/>
    <x v="8"/>
    <x v="116"/>
    <x v="117"/>
    <x v="118"/>
    <x v="0"/>
  </r>
  <r>
    <x v="11"/>
    <x v="5"/>
    <x v="119"/>
    <x v="119"/>
    <x v="8"/>
    <x v="117"/>
    <x v="118"/>
    <x v="119"/>
    <x v="4"/>
  </r>
  <r>
    <x v="12"/>
    <x v="5"/>
    <x v="120"/>
    <x v="120"/>
    <x v="8"/>
    <x v="118"/>
    <x v="119"/>
    <x v="120"/>
    <x v="1"/>
  </r>
  <r>
    <x v="13"/>
    <x v="5"/>
    <x v="121"/>
    <x v="121"/>
    <x v="8"/>
    <x v="119"/>
    <x v="120"/>
    <x v="121"/>
    <x v="2"/>
  </r>
  <r>
    <x v="14"/>
    <x v="5"/>
    <x v="122"/>
    <x v="122"/>
    <x v="8"/>
    <x v="120"/>
    <x v="121"/>
    <x v="122"/>
    <x v="2"/>
  </r>
  <r>
    <x v="15"/>
    <x v="5"/>
    <x v="123"/>
    <x v="123"/>
    <x v="8"/>
    <x v="121"/>
    <x v="122"/>
    <x v="123"/>
    <x v="3"/>
  </r>
  <r>
    <x v="16"/>
    <x v="5"/>
    <x v="124"/>
    <x v="124"/>
    <x v="9"/>
    <x v="122"/>
    <x v="123"/>
    <x v="124"/>
    <x v="4"/>
  </r>
  <r>
    <x v="17"/>
    <x v="5"/>
    <x v="125"/>
    <x v="125"/>
    <x v="8"/>
    <x v="123"/>
    <x v="124"/>
    <x v="125"/>
    <x v="1"/>
  </r>
  <r>
    <x v="18"/>
    <x v="5"/>
    <x v="126"/>
    <x v="126"/>
    <x v="8"/>
    <x v="124"/>
    <x v="125"/>
    <x v="126"/>
    <x v="4"/>
  </r>
  <r>
    <x v="19"/>
    <x v="5"/>
    <x v="127"/>
    <x v="127"/>
    <x v="8"/>
    <x v="125"/>
    <x v="126"/>
    <x v="127"/>
    <x v="3"/>
  </r>
  <r>
    <x v="20"/>
    <x v="5"/>
    <x v="128"/>
    <x v="128"/>
    <x v="8"/>
    <x v="126"/>
    <x v="127"/>
    <x v="128"/>
    <x v="2"/>
  </r>
  <r>
    <x v="21"/>
    <x v="5"/>
    <x v="129"/>
    <x v="129"/>
    <x v="8"/>
    <x v="127"/>
    <x v="128"/>
    <x v="129"/>
    <x v="0"/>
  </r>
  <r>
    <x v="22"/>
    <x v="5"/>
    <x v="130"/>
    <x v="130"/>
    <x v="8"/>
    <x v="128"/>
    <x v="110"/>
    <x v="130"/>
    <x v="4"/>
  </r>
  <r>
    <x v="23"/>
    <x v="5"/>
    <x v="131"/>
    <x v="131"/>
    <x v="8"/>
    <x v="129"/>
    <x v="129"/>
    <x v="131"/>
    <x v="3"/>
  </r>
  <r>
    <x v="24"/>
    <x v="5"/>
    <x v="132"/>
    <x v="132"/>
    <x v="8"/>
    <x v="130"/>
    <x v="130"/>
    <x v="132"/>
    <x v="3"/>
  </r>
  <r>
    <x v="25"/>
    <x v="5"/>
    <x v="133"/>
    <x v="133"/>
    <x v="8"/>
    <x v="131"/>
    <x v="131"/>
    <x v="133"/>
    <x v="3"/>
  </r>
  <r>
    <x v="26"/>
    <x v="5"/>
    <x v="134"/>
    <x v="134"/>
    <x v="8"/>
    <x v="132"/>
    <x v="132"/>
    <x v="134"/>
    <x v="2"/>
  </r>
  <r>
    <x v="3"/>
    <x v="6"/>
    <x v="135"/>
    <x v="135"/>
    <x v="10"/>
    <x v="133"/>
    <x v="133"/>
    <x v="135"/>
    <x v="1"/>
  </r>
  <r>
    <x v="4"/>
    <x v="6"/>
    <x v="136"/>
    <x v="136"/>
    <x v="10"/>
    <x v="134"/>
    <x v="134"/>
    <x v="136"/>
    <x v="2"/>
  </r>
  <r>
    <x v="5"/>
    <x v="6"/>
    <x v="137"/>
    <x v="137"/>
    <x v="10"/>
    <x v="135"/>
    <x v="135"/>
    <x v="137"/>
    <x v="1"/>
  </r>
  <r>
    <x v="6"/>
    <x v="6"/>
    <x v="138"/>
    <x v="138"/>
    <x v="10"/>
    <x v="136"/>
    <x v="136"/>
    <x v="138"/>
    <x v="3"/>
  </r>
  <r>
    <x v="7"/>
    <x v="6"/>
    <x v="139"/>
    <x v="139"/>
    <x v="10"/>
    <x v="137"/>
    <x v="137"/>
    <x v="139"/>
    <x v="3"/>
  </r>
  <r>
    <x v="8"/>
    <x v="6"/>
    <x v="140"/>
    <x v="140"/>
    <x v="10"/>
    <x v="138"/>
    <x v="138"/>
    <x v="140"/>
    <x v="4"/>
  </r>
  <r>
    <x v="9"/>
    <x v="6"/>
    <x v="141"/>
    <x v="141"/>
    <x v="10"/>
    <x v="139"/>
    <x v="139"/>
    <x v="141"/>
    <x v="4"/>
  </r>
  <r>
    <x v="10"/>
    <x v="6"/>
    <x v="142"/>
    <x v="142"/>
    <x v="11"/>
    <x v="140"/>
    <x v="140"/>
    <x v="142"/>
    <x v="0"/>
  </r>
  <r>
    <x v="11"/>
    <x v="6"/>
    <x v="143"/>
    <x v="143"/>
    <x v="10"/>
    <x v="141"/>
    <x v="141"/>
    <x v="143"/>
    <x v="4"/>
  </r>
  <r>
    <x v="12"/>
    <x v="6"/>
    <x v="144"/>
    <x v="144"/>
    <x v="10"/>
    <x v="142"/>
    <x v="142"/>
    <x v="144"/>
    <x v="1"/>
  </r>
  <r>
    <x v="13"/>
    <x v="6"/>
    <x v="145"/>
    <x v="145"/>
    <x v="10"/>
    <x v="143"/>
    <x v="143"/>
    <x v="145"/>
    <x v="2"/>
  </r>
  <r>
    <x v="14"/>
    <x v="6"/>
    <x v="146"/>
    <x v="146"/>
    <x v="10"/>
    <x v="144"/>
    <x v="144"/>
    <x v="146"/>
    <x v="2"/>
  </r>
  <r>
    <x v="15"/>
    <x v="6"/>
    <x v="147"/>
    <x v="147"/>
    <x v="10"/>
    <x v="145"/>
    <x v="145"/>
    <x v="147"/>
    <x v="3"/>
  </r>
  <r>
    <x v="16"/>
    <x v="6"/>
    <x v="148"/>
    <x v="148"/>
    <x v="10"/>
    <x v="146"/>
    <x v="146"/>
    <x v="148"/>
    <x v="4"/>
  </r>
  <r>
    <x v="17"/>
    <x v="6"/>
    <x v="149"/>
    <x v="149"/>
    <x v="10"/>
    <x v="147"/>
    <x v="147"/>
    <x v="149"/>
    <x v="1"/>
  </r>
  <r>
    <x v="0"/>
    <x v="5"/>
    <x v="150"/>
    <x v="150"/>
    <x v="8"/>
    <x v="148"/>
    <x v="148"/>
    <x v="150"/>
    <x v="0"/>
  </r>
  <r>
    <x v="18"/>
    <x v="6"/>
    <x v="151"/>
    <x v="151"/>
    <x v="10"/>
    <x v="149"/>
    <x v="149"/>
    <x v="151"/>
    <x v="4"/>
  </r>
  <r>
    <x v="1"/>
    <x v="5"/>
    <x v="152"/>
    <x v="152"/>
    <x v="8"/>
    <x v="150"/>
    <x v="150"/>
    <x v="152"/>
    <x v="0"/>
  </r>
  <r>
    <x v="19"/>
    <x v="6"/>
    <x v="153"/>
    <x v="153"/>
    <x v="10"/>
    <x v="151"/>
    <x v="151"/>
    <x v="153"/>
    <x v="3"/>
  </r>
  <r>
    <x v="20"/>
    <x v="6"/>
    <x v="154"/>
    <x v="154"/>
    <x v="10"/>
    <x v="152"/>
    <x v="152"/>
    <x v="154"/>
    <x v="2"/>
  </r>
  <r>
    <x v="2"/>
    <x v="5"/>
    <x v="155"/>
    <x v="155"/>
    <x v="8"/>
    <x v="153"/>
    <x v="153"/>
    <x v="155"/>
    <x v="0"/>
  </r>
  <r>
    <x v="21"/>
    <x v="6"/>
    <x v="156"/>
    <x v="156"/>
    <x v="11"/>
    <x v="154"/>
    <x v="154"/>
    <x v="156"/>
    <x v="0"/>
  </r>
  <r>
    <x v="22"/>
    <x v="6"/>
    <x v="157"/>
    <x v="157"/>
    <x v="10"/>
    <x v="155"/>
    <x v="155"/>
    <x v="157"/>
    <x v="4"/>
  </r>
  <r>
    <x v="23"/>
    <x v="6"/>
    <x v="158"/>
    <x v="158"/>
    <x v="10"/>
    <x v="156"/>
    <x v="156"/>
    <x v="158"/>
    <x v="3"/>
  </r>
  <r>
    <x v="24"/>
    <x v="6"/>
    <x v="159"/>
    <x v="159"/>
    <x v="10"/>
    <x v="157"/>
    <x v="157"/>
    <x v="159"/>
    <x v="3"/>
  </r>
  <r>
    <x v="25"/>
    <x v="6"/>
    <x v="160"/>
    <x v="160"/>
    <x v="10"/>
    <x v="158"/>
    <x v="158"/>
    <x v="160"/>
    <x v="3"/>
  </r>
  <r>
    <x v="26"/>
    <x v="6"/>
    <x v="161"/>
    <x v="161"/>
    <x v="10"/>
    <x v="159"/>
    <x v="159"/>
    <x v="161"/>
    <x v="2"/>
  </r>
  <r>
    <x v="3"/>
    <x v="7"/>
    <x v="162"/>
    <x v="162"/>
    <x v="12"/>
    <x v="160"/>
    <x v="160"/>
    <x v="162"/>
    <x v="1"/>
  </r>
  <r>
    <x v="4"/>
    <x v="7"/>
    <x v="163"/>
    <x v="163"/>
    <x v="12"/>
    <x v="161"/>
    <x v="161"/>
    <x v="163"/>
    <x v="2"/>
  </r>
  <r>
    <x v="5"/>
    <x v="7"/>
    <x v="164"/>
    <x v="164"/>
    <x v="12"/>
    <x v="162"/>
    <x v="162"/>
    <x v="164"/>
    <x v="1"/>
  </r>
  <r>
    <x v="6"/>
    <x v="7"/>
    <x v="165"/>
    <x v="165"/>
    <x v="12"/>
    <x v="163"/>
    <x v="163"/>
    <x v="165"/>
    <x v="3"/>
  </r>
  <r>
    <x v="7"/>
    <x v="7"/>
    <x v="166"/>
    <x v="166"/>
    <x v="12"/>
    <x v="164"/>
    <x v="164"/>
    <x v="166"/>
    <x v="3"/>
  </r>
  <r>
    <x v="8"/>
    <x v="7"/>
    <x v="167"/>
    <x v="167"/>
    <x v="12"/>
    <x v="165"/>
    <x v="165"/>
    <x v="167"/>
    <x v="4"/>
  </r>
  <r>
    <x v="9"/>
    <x v="7"/>
    <x v="168"/>
    <x v="168"/>
    <x v="12"/>
    <x v="166"/>
    <x v="166"/>
    <x v="168"/>
    <x v="4"/>
  </r>
  <r>
    <x v="10"/>
    <x v="7"/>
    <x v="169"/>
    <x v="169"/>
    <x v="12"/>
    <x v="167"/>
    <x v="167"/>
    <x v="169"/>
    <x v="0"/>
  </r>
  <r>
    <x v="11"/>
    <x v="7"/>
    <x v="170"/>
    <x v="170"/>
    <x v="12"/>
    <x v="168"/>
    <x v="168"/>
    <x v="170"/>
    <x v="4"/>
  </r>
  <r>
    <x v="12"/>
    <x v="7"/>
    <x v="171"/>
    <x v="171"/>
    <x v="12"/>
    <x v="169"/>
    <x v="169"/>
    <x v="171"/>
    <x v="1"/>
  </r>
  <r>
    <x v="13"/>
    <x v="7"/>
    <x v="172"/>
    <x v="172"/>
    <x v="12"/>
    <x v="170"/>
    <x v="170"/>
    <x v="172"/>
    <x v="2"/>
  </r>
  <r>
    <x v="14"/>
    <x v="7"/>
    <x v="173"/>
    <x v="173"/>
    <x v="12"/>
    <x v="171"/>
    <x v="171"/>
    <x v="173"/>
    <x v="2"/>
  </r>
  <r>
    <x v="15"/>
    <x v="7"/>
    <x v="174"/>
    <x v="174"/>
    <x v="12"/>
    <x v="172"/>
    <x v="172"/>
    <x v="174"/>
    <x v="3"/>
  </r>
  <r>
    <x v="16"/>
    <x v="7"/>
    <x v="175"/>
    <x v="175"/>
    <x v="12"/>
    <x v="173"/>
    <x v="173"/>
    <x v="175"/>
    <x v="4"/>
  </r>
  <r>
    <x v="17"/>
    <x v="7"/>
    <x v="176"/>
    <x v="176"/>
    <x v="12"/>
    <x v="174"/>
    <x v="174"/>
    <x v="176"/>
    <x v="1"/>
  </r>
  <r>
    <x v="0"/>
    <x v="6"/>
    <x v="177"/>
    <x v="177"/>
    <x v="11"/>
    <x v="175"/>
    <x v="175"/>
    <x v="177"/>
    <x v="0"/>
  </r>
  <r>
    <x v="18"/>
    <x v="7"/>
    <x v="178"/>
    <x v="178"/>
    <x v="12"/>
    <x v="176"/>
    <x v="176"/>
    <x v="178"/>
    <x v="4"/>
  </r>
  <r>
    <x v="1"/>
    <x v="6"/>
    <x v="179"/>
    <x v="179"/>
    <x v="11"/>
    <x v="177"/>
    <x v="177"/>
    <x v="179"/>
    <x v="0"/>
  </r>
  <r>
    <x v="19"/>
    <x v="7"/>
    <x v="180"/>
    <x v="180"/>
    <x v="12"/>
    <x v="178"/>
    <x v="178"/>
    <x v="180"/>
    <x v="3"/>
  </r>
  <r>
    <x v="20"/>
    <x v="7"/>
    <x v="181"/>
    <x v="181"/>
    <x v="12"/>
    <x v="179"/>
    <x v="179"/>
    <x v="181"/>
    <x v="2"/>
  </r>
  <r>
    <x v="2"/>
    <x v="6"/>
    <x v="182"/>
    <x v="182"/>
    <x v="11"/>
    <x v="180"/>
    <x v="180"/>
    <x v="182"/>
    <x v="0"/>
  </r>
  <r>
    <x v="21"/>
    <x v="7"/>
    <x v="183"/>
    <x v="183"/>
    <x v="12"/>
    <x v="181"/>
    <x v="181"/>
    <x v="183"/>
    <x v="0"/>
  </r>
  <r>
    <x v="22"/>
    <x v="7"/>
    <x v="184"/>
    <x v="184"/>
    <x v="12"/>
    <x v="182"/>
    <x v="182"/>
    <x v="184"/>
    <x v="4"/>
  </r>
  <r>
    <x v="23"/>
    <x v="7"/>
    <x v="185"/>
    <x v="185"/>
    <x v="12"/>
    <x v="183"/>
    <x v="183"/>
    <x v="185"/>
    <x v="3"/>
  </r>
  <r>
    <x v="24"/>
    <x v="7"/>
    <x v="186"/>
    <x v="186"/>
    <x v="12"/>
    <x v="184"/>
    <x v="184"/>
    <x v="186"/>
    <x v="3"/>
  </r>
  <r>
    <x v="25"/>
    <x v="7"/>
    <x v="187"/>
    <x v="187"/>
    <x v="12"/>
    <x v="185"/>
    <x v="185"/>
    <x v="187"/>
    <x v="3"/>
  </r>
  <r>
    <x v="26"/>
    <x v="7"/>
    <x v="188"/>
    <x v="188"/>
    <x v="12"/>
    <x v="186"/>
    <x v="186"/>
    <x v="188"/>
    <x v="2"/>
  </r>
  <r>
    <x v="3"/>
    <x v="8"/>
    <x v="189"/>
    <x v="189"/>
    <x v="1"/>
    <x v="187"/>
    <x v="187"/>
    <x v="189"/>
    <x v="1"/>
  </r>
  <r>
    <x v="4"/>
    <x v="8"/>
    <x v="190"/>
    <x v="190"/>
    <x v="1"/>
    <x v="188"/>
    <x v="188"/>
    <x v="190"/>
    <x v="2"/>
  </r>
  <r>
    <x v="5"/>
    <x v="8"/>
    <x v="191"/>
    <x v="191"/>
    <x v="1"/>
    <x v="189"/>
    <x v="189"/>
    <x v="191"/>
    <x v="1"/>
  </r>
  <r>
    <x v="6"/>
    <x v="8"/>
    <x v="192"/>
    <x v="192"/>
    <x v="1"/>
    <x v="190"/>
    <x v="190"/>
    <x v="192"/>
    <x v="3"/>
  </r>
  <r>
    <x v="7"/>
    <x v="8"/>
    <x v="193"/>
    <x v="193"/>
    <x v="2"/>
    <x v="191"/>
    <x v="191"/>
    <x v="193"/>
    <x v="3"/>
  </r>
  <r>
    <x v="8"/>
    <x v="8"/>
    <x v="194"/>
    <x v="194"/>
    <x v="4"/>
    <x v="192"/>
    <x v="12"/>
    <x v="194"/>
    <x v="4"/>
  </r>
  <r>
    <x v="9"/>
    <x v="8"/>
    <x v="195"/>
    <x v="195"/>
    <x v="2"/>
    <x v="193"/>
    <x v="192"/>
    <x v="195"/>
    <x v="4"/>
  </r>
  <r>
    <x v="10"/>
    <x v="8"/>
    <x v="196"/>
    <x v="196"/>
    <x v="1"/>
    <x v="194"/>
    <x v="193"/>
    <x v="196"/>
    <x v="0"/>
  </r>
  <r>
    <x v="11"/>
    <x v="8"/>
    <x v="197"/>
    <x v="197"/>
    <x v="2"/>
    <x v="195"/>
    <x v="194"/>
    <x v="197"/>
    <x v="4"/>
  </r>
  <r>
    <x v="12"/>
    <x v="8"/>
    <x v="198"/>
    <x v="198"/>
    <x v="1"/>
    <x v="196"/>
    <x v="195"/>
    <x v="198"/>
    <x v="1"/>
  </r>
  <r>
    <x v="13"/>
    <x v="8"/>
    <x v="199"/>
    <x v="199"/>
    <x v="1"/>
    <x v="197"/>
    <x v="196"/>
    <x v="199"/>
    <x v="2"/>
  </r>
  <r>
    <x v="14"/>
    <x v="8"/>
    <x v="200"/>
    <x v="200"/>
    <x v="1"/>
    <x v="198"/>
    <x v="197"/>
    <x v="200"/>
    <x v="2"/>
  </r>
  <r>
    <x v="15"/>
    <x v="8"/>
    <x v="201"/>
    <x v="201"/>
    <x v="2"/>
    <x v="199"/>
    <x v="198"/>
    <x v="201"/>
    <x v="3"/>
  </r>
  <r>
    <x v="16"/>
    <x v="8"/>
    <x v="202"/>
    <x v="202"/>
    <x v="4"/>
    <x v="200"/>
    <x v="199"/>
    <x v="202"/>
    <x v="4"/>
  </r>
  <r>
    <x v="17"/>
    <x v="8"/>
    <x v="203"/>
    <x v="203"/>
    <x v="1"/>
    <x v="201"/>
    <x v="200"/>
    <x v="203"/>
    <x v="1"/>
  </r>
  <r>
    <x v="0"/>
    <x v="7"/>
    <x v="204"/>
    <x v="204"/>
    <x v="13"/>
    <x v="202"/>
    <x v="201"/>
    <x v="204"/>
    <x v="0"/>
  </r>
  <r>
    <x v="18"/>
    <x v="8"/>
    <x v="205"/>
    <x v="205"/>
    <x v="2"/>
    <x v="203"/>
    <x v="202"/>
    <x v="205"/>
    <x v="4"/>
  </r>
  <r>
    <x v="1"/>
    <x v="7"/>
    <x v="206"/>
    <x v="206"/>
    <x v="13"/>
    <x v="204"/>
    <x v="203"/>
    <x v="206"/>
    <x v="0"/>
  </r>
  <r>
    <x v="19"/>
    <x v="8"/>
    <x v="207"/>
    <x v="207"/>
    <x v="2"/>
    <x v="205"/>
    <x v="204"/>
    <x v="207"/>
    <x v="3"/>
  </r>
  <r>
    <x v="20"/>
    <x v="8"/>
    <x v="208"/>
    <x v="208"/>
    <x v="1"/>
    <x v="206"/>
    <x v="205"/>
    <x v="208"/>
    <x v="2"/>
  </r>
  <r>
    <x v="2"/>
    <x v="7"/>
    <x v="209"/>
    <x v="209"/>
    <x v="13"/>
    <x v="207"/>
    <x v="206"/>
    <x v="209"/>
    <x v="0"/>
  </r>
  <r>
    <x v="21"/>
    <x v="8"/>
    <x v="210"/>
    <x v="210"/>
    <x v="1"/>
    <x v="208"/>
    <x v="207"/>
    <x v="210"/>
    <x v="0"/>
  </r>
  <r>
    <x v="22"/>
    <x v="8"/>
    <x v="211"/>
    <x v="211"/>
    <x v="2"/>
    <x v="209"/>
    <x v="208"/>
    <x v="211"/>
    <x v="4"/>
  </r>
  <r>
    <x v="23"/>
    <x v="8"/>
    <x v="212"/>
    <x v="212"/>
    <x v="1"/>
    <x v="210"/>
    <x v="209"/>
    <x v="212"/>
    <x v="3"/>
  </r>
  <r>
    <x v="24"/>
    <x v="8"/>
    <x v="213"/>
    <x v="213"/>
    <x v="1"/>
    <x v="211"/>
    <x v="210"/>
    <x v="213"/>
    <x v="3"/>
  </r>
  <r>
    <x v="25"/>
    <x v="8"/>
    <x v="214"/>
    <x v="214"/>
    <x v="1"/>
    <x v="212"/>
    <x v="211"/>
    <x v="214"/>
    <x v="3"/>
  </r>
  <r>
    <x v="26"/>
    <x v="8"/>
    <x v="215"/>
    <x v="215"/>
    <x v="1"/>
    <x v="213"/>
    <x v="212"/>
    <x v="215"/>
    <x v="2"/>
  </r>
  <r>
    <x v="0"/>
    <x v="8"/>
    <x v="216"/>
    <x v="216"/>
    <x v="14"/>
    <x v="214"/>
    <x v="213"/>
    <x v="216"/>
    <x v="0"/>
  </r>
  <r>
    <x v="1"/>
    <x v="8"/>
    <x v="217"/>
    <x v="217"/>
    <x v="15"/>
    <x v="215"/>
    <x v="214"/>
    <x v="217"/>
    <x v="0"/>
  </r>
  <r>
    <x v="2"/>
    <x v="8"/>
    <x v="218"/>
    <x v="218"/>
    <x v="15"/>
    <x v="216"/>
    <x v="215"/>
    <x v="218"/>
    <x v="0"/>
  </r>
  <r>
    <x v="3"/>
    <x v="9"/>
    <x v="219"/>
    <x v="219"/>
    <x v="0"/>
    <x v="217"/>
    <x v="216"/>
    <x v="219"/>
    <x v="1"/>
  </r>
  <r>
    <x v="4"/>
    <x v="9"/>
    <x v="220"/>
    <x v="220"/>
    <x v="16"/>
    <x v="218"/>
    <x v="217"/>
    <x v="220"/>
    <x v="2"/>
  </r>
  <r>
    <x v="5"/>
    <x v="9"/>
    <x v="221"/>
    <x v="221"/>
    <x v="0"/>
    <x v="219"/>
    <x v="218"/>
    <x v="221"/>
    <x v="1"/>
  </r>
  <r>
    <x v="6"/>
    <x v="9"/>
    <x v="222"/>
    <x v="222"/>
    <x v="0"/>
    <x v="220"/>
    <x v="219"/>
    <x v="222"/>
    <x v="3"/>
  </r>
  <r>
    <x v="7"/>
    <x v="9"/>
    <x v="223"/>
    <x v="223"/>
    <x v="0"/>
    <x v="221"/>
    <x v="220"/>
    <x v="223"/>
    <x v="3"/>
  </r>
  <r>
    <x v="8"/>
    <x v="9"/>
    <x v="224"/>
    <x v="224"/>
    <x v="0"/>
    <x v="222"/>
    <x v="221"/>
    <x v="224"/>
    <x v="4"/>
  </r>
  <r>
    <x v="9"/>
    <x v="9"/>
    <x v="225"/>
    <x v="225"/>
    <x v="0"/>
    <x v="223"/>
    <x v="222"/>
    <x v="225"/>
    <x v="4"/>
  </r>
  <r>
    <x v="10"/>
    <x v="9"/>
    <x v="226"/>
    <x v="226"/>
    <x v="7"/>
    <x v="224"/>
    <x v="223"/>
    <x v="226"/>
    <x v="0"/>
  </r>
  <r>
    <x v="11"/>
    <x v="9"/>
    <x v="227"/>
    <x v="227"/>
    <x v="0"/>
    <x v="225"/>
    <x v="224"/>
    <x v="227"/>
    <x v="4"/>
  </r>
  <r>
    <x v="12"/>
    <x v="9"/>
    <x v="228"/>
    <x v="228"/>
    <x v="0"/>
    <x v="226"/>
    <x v="225"/>
    <x v="228"/>
    <x v="1"/>
  </r>
  <r>
    <x v="13"/>
    <x v="9"/>
    <x v="229"/>
    <x v="229"/>
    <x v="7"/>
    <x v="227"/>
    <x v="226"/>
    <x v="229"/>
    <x v="2"/>
  </r>
  <r>
    <x v="14"/>
    <x v="9"/>
    <x v="230"/>
    <x v="230"/>
    <x v="16"/>
    <x v="228"/>
    <x v="227"/>
    <x v="230"/>
    <x v="2"/>
  </r>
  <r>
    <x v="15"/>
    <x v="9"/>
    <x v="231"/>
    <x v="231"/>
    <x v="0"/>
    <x v="229"/>
    <x v="228"/>
    <x v="231"/>
    <x v="3"/>
  </r>
  <r>
    <x v="16"/>
    <x v="9"/>
    <x v="232"/>
    <x v="232"/>
    <x v="0"/>
    <x v="230"/>
    <x v="229"/>
    <x v="232"/>
    <x v="4"/>
  </r>
  <r>
    <x v="17"/>
    <x v="9"/>
    <x v="233"/>
    <x v="233"/>
    <x v="0"/>
    <x v="231"/>
    <x v="230"/>
    <x v="233"/>
    <x v="1"/>
  </r>
  <r>
    <x v="18"/>
    <x v="9"/>
    <x v="234"/>
    <x v="234"/>
    <x v="0"/>
    <x v="232"/>
    <x v="231"/>
    <x v="234"/>
    <x v="4"/>
  </r>
  <r>
    <x v="19"/>
    <x v="9"/>
    <x v="235"/>
    <x v="235"/>
    <x v="0"/>
    <x v="233"/>
    <x v="232"/>
    <x v="235"/>
    <x v="3"/>
  </r>
  <r>
    <x v="20"/>
    <x v="9"/>
    <x v="236"/>
    <x v="236"/>
    <x v="7"/>
    <x v="234"/>
    <x v="233"/>
    <x v="236"/>
    <x v="2"/>
  </r>
  <r>
    <x v="21"/>
    <x v="9"/>
    <x v="237"/>
    <x v="237"/>
    <x v="7"/>
    <x v="235"/>
    <x v="234"/>
    <x v="237"/>
    <x v="0"/>
  </r>
  <r>
    <x v="22"/>
    <x v="9"/>
    <x v="238"/>
    <x v="238"/>
    <x v="0"/>
    <x v="83"/>
    <x v="235"/>
    <x v="238"/>
    <x v="4"/>
  </r>
  <r>
    <x v="23"/>
    <x v="9"/>
    <x v="239"/>
    <x v="239"/>
    <x v="0"/>
    <x v="236"/>
    <x v="236"/>
    <x v="239"/>
    <x v="3"/>
  </r>
  <r>
    <x v="24"/>
    <x v="9"/>
    <x v="240"/>
    <x v="240"/>
    <x v="0"/>
    <x v="237"/>
    <x v="237"/>
    <x v="240"/>
    <x v="3"/>
  </r>
  <r>
    <x v="25"/>
    <x v="9"/>
    <x v="241"/>
    <x v="241"/>
    <x v="0"/>
    <x v="238"/>
    <x v="238"/>
    <x v="241"/>
    <x v="3"/>
  </r>
  <r>
    <x v="26"/>
    <x v="9"/>
    <x v="242"/>
    <x v="242"/>
    <x v="7"/>
    <x v="239"/>
    <x v="239"/>
    <x v="242"/>
    <x v="2"/>
  </r>
  <r>
    <x v="3"/>
    <x v="10"/>
    <x v="243"/>
    <x v="243"/>
    <x v="0"/>
    <x v="240"/>
    <x v="220"/>
    <x v="243"/>
    <x v="1"/>
  </r>
  <r>
    <x v="4"/>
    <x v="10"/>
    <x v="244"/>
    <x v="244"/>
    <x v="0"/>
    <x v="241"/>
    <x v="240"/>
    <x v="244"/>
    <x v="2"/>
  </r>
  <r>
    <x v="5"/>
    <x v="10"/>
    <x v="245"/>
    <x v="245"/>
    <x v="0"/>
    <x v="61"/>
    <x v="64"/>
    <x v="245"/>
    <x v="1"/>
  </r>
  <r>
    <x v="6"/>
    <x v="10"/>
    <x v="246"/>
    <x v="246"/>
    <x v="0"/>
    <x v="242"/>
    <x v="241"/>
    <x v="246"/>
    <x v="3"/>
  </r>
  <r>
    <x v="7"/>
    <x v="10"/>
    <x v="247"/>
    <x v="247"/>
    <x v="0"/>
    <x v="243"/>
    <x v="242"/>
    <x v="247"/>
    <x v="3"/>
  </r>
  <r>
    <x v="8"/>
    <x v="11"/>
    <x v="248"/>
    <x v="248"/>
    <x v="3"/>
    <x v="244"/>
    <x v="243"/>
    <x v="248"/>
    <x v="4"/>
  </r>
  <r>
    <x v="9"/>
    <x v="10"/>
    <x v="249"/>
    <x v="249"/>
    <x v="0"/>
    <x v="245"/>
    <x v="244"/>
    <x v="249"/>
    <x v="4"/>
  </r>
  <r>
    <x v="10"/>
    <x v="10"/>
    <x v="250"/>
    <x v="250"/>
    <x v="0"/>
    <x v="246"/>
    <x v="245"/>
    <x v="250"/>
    <x v="0"/>
  </r>
  <r>
    <x v="11"/>
    <x v="10"/>
    <x v="251"/>
    <x v="251"/>
    <x v="0"/>
    <x v="247"/>
    <x v="246"/>
    <x v="251"/>
    <x v="4"/>
  </r>
  <r>
    <x v="12"/>
    <x v="10"/>
    <x v="252"/>
    <x v="252"/>
    <x v="0"/>
    <x v="248"/>
    <x v="247"/>
    <x v="252"/>
    <x v="1"/>
  </r>
  <r>
    <x v="13"/>
    <x v="10"/>
    <x v="253"/>
    <x v="253"/>
    <x v="0"/>
    <x v="81"/>
    <x v="248"/>
    <x v="253"/>
    <x v="2"/>
  </r>
  <r>
    <x v="14"/>
    <x v="10"/>
    <x v="254"/>
    <x v="254"/>
    <x v="0"/>
    <x v="54"/>
    <x v="249"/>
    <x v="254"/>
    <x v="2"/>
  </r>
  <r>
    <x v="15"/>
    <x v="10"/>
    <x v="255"/>
    <x v="255"/>
    <x v="0"/>
    <x v="249"/>
    <x v="250"/>
    <x v="255"/>
    <x v="3"/>
  </r>
  <r>
    <x v="16"/>
    <x v="11"/>
    <x v="256"/>
    <x v="256"/>
    <x v="3"/>
    <x v="250"/>
    <x v="251"/>
    <x v="256"/>
    <x v="4"/>
  </r>
  <r>
    <x v="17"/>
    <x v="10"/>
    <x v="257"/>
    <x v="257"/>
    <x v="0"/>
    <x v="251"/>
    <x v="252"/>
    <x v="257"/>
    <x v="1"/>
  </r>
  <r>
    <x v="0"/>
    <x v="9"/>
    <x v="258"/>
    <x v="258"/>
    <x v="7"/>
    <x v="252"/>
    <x v="253"/>
    <x v="258"/>
    <x v="0"/>
  </r>
  <r>
    <x v="18"/>
    <x v="10"/>
    <x v="259"/>
    <x v="259"/>
    <x v="0"/>
    <x v="249"/>
    <x v="254"/>
    <x v="259"/>
    <x v="4"/>
  </r>
  <r>
    <x v="1"/>
    <x v="9"/>
    <x v="260"/>
    <x v="260"/>
    <x v="7"/>
    <x v="253"/>
    <x v="255"/>
    <x v="260"/>
    <x v="0"/>
  </r>
  <r>
    <x v="19"/>
    <x v="10"/>
    <x v="261"/>
    <x v="261"/>
    <x v="0"/>
    <x v="254"/>
    <x v="256"/>
    <x v="261"/>
    <x v="3"/>
  </r>
  <r>
    <x v="20"/>
    <x v="10"/>
    <x v="262"/>
    <x v="262"/>
    <x v="0"/>
    <x v="255"/>
    <x v="257"/>
    <x v="262"/>
    <x v="2"/>
  </r>
  <r>
    <x v="2"/>
    <x v="9"/>
    <x v="263"/>
    <x v="263"/>
    <x v="7"/>
    <x v="256"/>
    <x v="258"/>
    <x v="263"/>
    <x v="0"/>
  </r>
  <r>
    <x v="21"/>
    <x v="10"/>
    <x v="264"/>
    <x v="264"/>
    <x v="0"/>
    <x v="257"/>
    <x v="259"/>
    <x v="264"/>
    <x v="0"/>
  </r>
  <r>
    <x v="22"/>
    <x v="10"/>
    <x v="265"/>
    <x v="265"/>
    <x v="0"/>
    <x v="258"/>
    <x v="260"/>
    <x v="265"/>
    <x v="4"/>
  </r>
  <r>
    <x v="23"/>
    <x v="10"/>
    <x v="266"/>
    <x v="266"/>
    <x v="0"/>
    <x v="259"/>
    <x v="261"/>
    <x v="266"/>
    <x v="3"/>
  </r>
  <r>
    <x v="24"/>
    <x v="10"/>
    <x v="267"/>
    <x v="267"/>
    <x v="0"/>
    <x v="260"/>
    <x v="262"/>
    <x v="267"/>
    <x v="3"/>
  </r>
  <r>
    <x v="25"/>
    <x v="10"/>
    <x v="268"/>
    <x v="268"/>
    <x v="0"/>
    <x v="261"/>
    <x v="263"/>
    <x v="268"/>
    <x v="3"/>
  </r>
  <r>
    <x v="26"/>
    <x v="10"/>
    <x v="269"/>
    <x v="269"/>
    <x v="0"/>
    <x v="262"/>
    <x v="264"/>
    <x v="269"/>
    <x v="2"/>
  </r>
  <r>
    <x v="3"/>
    <x v="11"/>
    <x v="270"/>
    <x v="270"/>
    <x v="4"/>
    <x v="263"/>
    <x v="265"/>
    <x v="270"/>
    <x v="1"/>
  </r>
  <r>
    <x v="4"/>
    <x v="11"/>
    <x v="271"/>
    <x v="271"/>
    <x v="4"/>
    <x v="264"/>
    <x v="266"/>
    <x v="271"/>
    <x v="2"/>
  </r>
  <r>
    <x v="5"/>
    <x v="11"/>
    <x v="272"/>
    <x v="272"/>
    <x v="4"/>
    <x v="265"/>
    <x v="11"/>
    <x v="272"/>
    <x v="1"/>
  </r>
  <r>
    <x v="6"/>
    <x v="11"/>
    <x v="273"/>
    <x v="273"/>
    <x v="4"/>
    <x v="25"/>
    <x v="267"/>
    <x v="273"/>
    <x v="3"/>
  </r>
  <r>
    <x v="7"/>
    <x v="11"/>
    <x v="274"/>
    <x v="274"/>
    <x v="4"/>
    <x v="266"/>
    <x v="268"/>
    <x v="274"/>
    <x v="3"/>
  </r>
  <r>
    <x v="9"/>
    <x v="11"/>
    <x v="275"/>
    <x v="275"/>
    <x v="4"/>
    <x v="267"/>
    <x v="269"/>
    <x v="275"/>
    <x v="4"/>
  </r>
  <r>
    <x v="10"/>
    <x v="11"/>
    <x v="276"/>
    <x v="276"/>
    <x v="2"/>
    <x v="268"/>
    <x v="270"/>
    <x v="276"/>
    <x v="0"/>
  </r>
  <r>
    <x v="11"/>
    <x v="11"/>
    <x v="277"/>
    <x v="277"/>
    <x v="4"/>
    <x v="269"/>
    <x v="101"/>
    <x v="277"/>
    <x v="4"/>
  </r>
  <r>
    <x v="12"/>
    <x v="11"/>
    <x v="278"/>
    <x v="278"/>
    <x v="4"/>
    <x v="270"/>
    <x v="271"/>
    <x v="278"/>
    <x v="1"/>
  </r>
  <r>
    <x v="13"/>
    <x v="11"/>
    <x v="279"/>
    <x v="279"/>
    <x v="4"/>
    <x v="271"/>
    <x v="272"/>
    <x v="279"/>
    <x v="2"/>
  </r>
  <r>
    <x v="14"/>
    <x v="11"/>
    <x v="280"/>
    <x v="280"/>
    <x v="4"/>
    <x v="272"/>
    <x v="273"/>
    <x v="280"/>
    <x v="2"/>
  </r>
  <r>
    <x v="15"/>
    <x v="11"/>
    <x v="281"/>
    <x v="281"/>
    <x v="4"/>
    <x v="273"/>
    <x v="274"/>
    <x v="281"/>
    <x v="3"/>
  </r>
  <r>
    <x v="17"/>
    <x v="11"/>
    <x v="282"/>
    <x v="282"/>
    <x v="4"/>
    <x v="274"/>
    <x v="275"/>
    <x v="282"/>
    <x v="1"/>
  </r>
  <r>
    <x v="0"/>
    <x v="10"/>
    <x v="283"/>
    <x v="283"/>
    <x v="16"/>
    <x v="275"/>
    <x v="276"/>
    <x v="283"/>
    <x v="0"/>
  </r>
  <r>
    <x v="18"/>
    <x v="11"/>
    <x v="284"/>
    <x v="284"/>
    <x v="4"/>
    <x v="276"/>
    <x v="277"/>
    <x v="284"/>
    <x v="4"/>
  </r>
  <r>
    <x v="1"/>
    <x v="10"/>
    <x v="285"/>
    <x v="285"/>
    <x v="16"/>
    <x v="277"/>
    <x v="278"/>
    <x v="285"/>
    <x v="0"/>
  </r>
  <r>
    <x v="19"/>
    <x v="11"/>
    <x v="286"/>
    <x v="286"/>
    <x v="4"/>
    <x v="278"/>
    <x v="279"/>
    <x v="286"/>
    <x v="3"/>
  </r>
  <r>
    <x v="20"/>
    <x v="11"/>
    <x v="287"/>
    <x v="287"/>
    <x v="4"/>
    <x v="279"/>
    <x v="280"/>
    <x v="287"/>
    <x v="2"/>
  </r>
  <r>
    <x v="2"/>
    <x v="10"/>
    <x v="288"/>
    <x v="288"/>
    <x v="16"/>
    <x v="280"/>
    <x v="281"/>
    <x v="288"/>
    <x v="0"/>
  </r>
  <r>
    <x v="21"/>
    <x v="11"/>
    <x v="289"/>
    <x v="289"/>
    <x v="2"/>
    <x v="281"/>
    <x v="282"/>
    <x v="289"/>
    <x v="0"/>
  </r>
  <r>
    <x v="22"/>
    <x v="11"/>
    <x v="290"/>
    <x v="290"/>
    <x v="4"/>
    <x v="282"/>
    <x v="283"/>
    <x v="290"/>
    <x v="4"/>
  </r>
  <r>
    <x v="23"/>
    <x v="11"/>
    <x v="291"/>
    <x v="291"/>
    <x v="4"/>
    <x v="283"/>
    <x v="284"/>
    <x v="291"/>
    <x v="3"/>
  </r>
  <r>
    <x v="24"/>
    <x v="11"/>
    <x v="292"/>
    <x v="292"/>
    <x v="4"/>
    <x v="18"/>
    <x v="285"/>
    <x v="292"/>
    <x v="3"/>
  </r>
  <r>
    <x v="25"/>
    <x v="11"/>
    <x v="293"/>
    <x v="293"/>
    <x v="4"/>
    <x v="284"/>
    <x v="286"/>
    <x v="293"/>
    <x v="3"/>
  </r>
  <r>
    <x v="26"/>
    <x v="11"/>
    <x v="294"/>
    <x v="294"/>
    <x v="4"/>
    <x v="285"/>
    <x v="287"/>
    <x v="294"/>
    <x v="2"/>
  </r>
  <r>
    <x v="8"/>
    <x v="12"/>
    <x v="295"/>
    <x v="295"/>
    <x v="17"/>
    <x v="286"/>
    <x v="288"/>
    <x v="295"/>
    <x v="4"/>
  </r>
  <r>
    <x v="16"/>
    <x v="12"/>
    <x v="296"/>
    <x v="296"/>
    <x v="17"/>
    <x v="287"/>
    <x v="289"/>
    <x v="296"/>
    <x v="4"/>
  </r>
  <r>
    <x v="0"/>
    <x v="11"/>
    <x v="297"/>
    <x v="297"/>
    <x v="1"/>
    <x v="288"/>
    <x v="290"/>
    <x v="297"/>
    <x v="0"/>
  </r>
  <r>
    <x v="1"/>
    <x v="11"/>
    <x v="298"/>
    <x v="298"/>
    <x v="2"/>
    <x v="289"/>
    <x v="291"/>
    <x v="298"/>
    <x v="0"/>
  </r>
  <r>
    <x v="2"/>
    <x v="11"/>
    <x v="299"/>
    <x v="299"/>
    <x v="2"/>
    <x v="290"/>
    <x v="292"/>
    <x v="299"/>
    <x v="0"/>
  </r>
  <r>
    <x v="3"/>
    <x v="12"/>
    <x v="300"/>
    <x v="300"/>
    <x v="18"/>
    <x v="291"/>
    <x v="293"/>
    <x v="300"/>
    <x v="1"/>
  </r>
  <r>
    <x v="4"/>
    <x v="12"/>
    <x v="301"/>
    <x v="301"/>
    <x v="18"/>
    <x v="292"/>
    <x v="294"/>
    <x v="301"/>
    <x v="2"/>
  </r>
  <r>
    <x v="5"/>
    <x v="12"/>
    <x v="302"/>
    <x v="302"/>
    <x v="18"/>
    <x v="293"/>
    <x v="295"/>
    <x v="302"/>
    <x v="1"/>
  </r>
  <r>
    <x v="6"/>
    <x v="12"/>
    <x v="303"/>
    <x v="303"/>
    <x v="17"/>
    <x v="294"/>
    <x v="296"/>
    <x v="303"/>
    <x v="3"/>
  </r>
  <r>
    <x v="7"/>
    <x v="12"/>
    <x v="304"/>
    <x v="304"/>
    <x v="17"/>
    <x v="295"/>
    <x v="297"/>
    <x v="304"/>
    <x v="3"/>
  </r>
  <r>
    <x v="8"/>
    <x v="13"/>
    <x v="305"/>
    <x v="305"/>
    <x v="19"/>
    <x v="296"/>
    <x v="298"/>
    <x v="305"/>
    <x v="4"/>
  </r>
  <r>
    <x v="9"/>
    <x v="12"/>
    <x v="306"/>
    <x v="306"/>
    <x v="17"/>
    <x v="297"/>
    <x v="299"/>
    <x v="306"/>
    <x v="4"/>
  </r>
  <r>
    <x v="10"/>
    <x v="12"/>
    <x v="307"/>
    <x v="307"/>
    <x v="17"/>
    <x v="298"/>
    <x v="300"/>
    <x v="307"/>
    <x v="0"/>
  </r>
  <r>
    <x v="11"/>
    <x v="12"/>
    <x v="308"/>
    <x v="308"/>
    <x v="17"/>
    <x v="299"/>
    <x v="301"/>
    <x v="308"/>
    <x v="4"/>
  </r>
  <r>
    <x v="12"/>
    <x v="12"/>
    <x v="309"/>
    <x v="309"/>
    <x v="18"/>
    <x v="300"/>
    <x v="302"/>
    <x v="309"/>
    <x v="1"/>
  </r>
  <r>
    <x v="13"/>
    <x v="12"/>
    <x v="310"/>
    <x v="310"/>
    <x v="18"/>
    <x v="301"/>
    <x v="303"/>
    <x v="310"/>
    <x v="2"/>
  </r>
  <r>
    <x v="14"/>
    <x v="12"/>
    <x v="311"/>
    <x v="311"/>
    <x v="18"/>
    <x v="302"/>
    <x v="304"/>
    <x v="311"/>
    <x v="2"/>
  </r>
  <r>
    <x v="15"/>
    <x v="12"/>
    <x v="312"/>
    <x v="312"/>
    <x v="17"/>
    <x v="303"/>
    <x v="305"/>
    <x v="312"/>
    <x v="3"/>
  </r>
  <r>
    <x v="16"/>
    <x v="13"/>
    <x v="313"/>
    <x v="313"/>
    <x v="19"/>
    <x v="304"/>
    <x v="306"/>
    <x v="313"/>
    <x v="4"/>
  </r>
  <r>
    <x v="17"/>
    <x v="12"/>
    <x v="314"/>
    <x v="314"/>
    <x v="18"/>
    <x v="305"/>
    <x v="307"/>
    <x v="314"/>
    <x v="1"/>
  </r>
  <r>
    <x v="18"/>
    <x v="12"/>
    <x v="315"/>
    <x v="315"/>
    <x v="17"/>
    <x v="306"/>
    <x v="308"/>
    <x v="315"/>
    <x v="4"/>
  </r>
  <r>
    <x v="19"/>
    <x v="12"/>
    <x v="316"/>
    <x v="316"/>
    <x v="17"/>
    <x v="307"/>
    <x v="293"/>
    <x v="316"/>
    <x v="3"/>
  </r>
  <r>
    <x v="20"/>
    <x v="12"/>
    <x v="317"/>
    <x v="317"/>
    <x v="18"/>
    <x v="308"/>
    <x v="309"/>
    <x v="317"/>
    <x v="2"/>
  </r>
  <r>
    <x v="21"/>
    <x v="12"/>
    <x v="318"/>
    <x v="318"/>
    <x v="17"/>
    <x v="309"/>
    <x v="310"/>
    <x v="318"/>
    <x v="0"/>
  </r>
  <r>
    <x v="22"/>
    <x v="12"/>
    <x v="319"/>
    <x v="319"/>
    <x v="17"/>
    <x v="310"/>
    <x v="311"/>
    <x v="319"/>
    <x v="4"/>
  </r>
  <r>
    <x v="23"/>
    <x v="12"/>
    <x v="320"/>
    <x v="320"/>
    <x v="17"/>
    <x v="311"/>
    <x v="312"/>
    <x v="320"/>
    <x v="3"/>
  </r>
  <r>
    <x v="24"/>
    <x v="12"/>
    <x v="321"/>
    <x v="321"/>
    <x v="17"/>
    <x v="312"/>
    <x v="313"/>
    <x v="321"/>
    <x v="3"/>
  </r>
  <r>
    <x v="25"/>
    <x v="12"/>
    <x v="322"/>
    <x v="322"/>
    <x v="17"/>
    <x v="313"/>
    <x v="314"/>
    <x v="322"/>
    <x v="3"/>
  </r>
  <r>
    <x v="26"/>
    <x v="12"/>
    <x v="323"/>
    <x v="323"/>
    <x v="18"/>
    <x v="314"/>
    <x v="315"/>
    <x v="323"/>
    <x v="2"/>
  </r>
  <r>
    <x v="3"/>
    <x v="13"/>
    <x v="324"/>
    <x v="324"/>
    <x v="19"/>
    <x v="315"/>
    <x v="316"/>
    <x v="324"/>
    <x v="1"/>
  </r>
  <r>
    <x v="4"/>
    <x v="13"/>
    <x v="325"/>
    <x v="325"/>
    <x v="19"/>
    <x v="316"/>
    <x v="317"/>
    <x v="325"/>
    <x v="2"/>
  </r>
  <r>
    <x v="5"/>
    <x v="13"/>
    <x v="326"/>
    <x v="326"/>
    <x v="19"/>
    <x v="317"/>
    <x v="318"/>
    <x v="326"/>
    <x v="1"/>
  </r>
  <r>
    <x v="6"/>
    <x v="13"/>
    <x v="327"/>
    <x v="327"/>
    <x v="19"/>
    <x v="318"/>
    <x v="319"/>
    <x v="327"/>
    <x v="3"/>
  </r>
  <r>
    <x v="7"/>
    <x v="13"/>
    <x v="328"/>
    <x v="328"/>
    <x v="19"/>
    <x v="319"/>
    <x v="320"/>
    <x v="328"/>
    <x v="3"/>
  </r>
  <r>
    <x v="9"/>
    <x v="13"/>
    <x v="329"/>
    <x v="329"/>
    <x v="19"/>
    <x v="320"/>
    <x v="321"/>
    <x v="329"/>
    <x v="4"/>
  </r>
  <r>
    <x v="10"/>
    <x v="13"/>
    <x v="330"/>
    <x v="330"/>
    <x v="19"/>
    <x v="321"/>
    <x v="322"/>
    <x v="330"/>
    <x v="0"/>
  </r>
  <r>
    <x v="11"/>
    <x v="13"/>
    <x v="331"/>
    <x v="331"/>
    <x v="19"/>
    <x v="322"/>
    <x v="323"/>
    <x v="331"/>
    <x v="4"/>
  </r>
  <r>
    <x v="12"/>
    <x v="13"/>
    <x v="332"/>
    <x v="332"/>
    <x v="19"/>
    <x v="323"/>
    <x v="324"/>
    <x v="332"/>
    <x v="1"/>
  </r>
  <r>
    <x v="13"/>
    <x v="13"/>
    <x v="333"/>
    <x v="333"/>
    <x v="19"/>
    <x v="324"/>
    <x v="325"/>
    <x v="333"/>
    <x v="2"/>
  </r>
  <r>
    <x v="14"/>
    <x v="13"/>
    <x v="334"/>
    <x v="334"/>
    <x v="19"/>
    <x v="325"/>
    <x v="326"/>
    <x v="334"/>
    <x v="2"/>
  </r>
  <r>
    <x v="15"/>
    <x v="13"/>
    <x v="335"/>
    <x v="335"/>
    <x v="19"/>
    <x v="326"/>
    <x v="327"/>
    <x v="335"/>
    <x v="3"/>
  </r>
  <r>
    <x v="17"/>
    <x v="13"/>
    <x v="336"/>
    <x v="336"/>
    <x v="19"/>
    <x v="327"/>
    <x v="328"/>
    <x v="336"/>
    <x v="1"/>
  </r>
  <r>
    <x v="0"/>
    <x v="12"/>
    <x v="337"/>
    <x v="337"/>
    <x v="17"/>
    <x v="328"/>
    <x v="329"/>
    <x v="337"/>
    <x v="0"/>
  </r>
  <r>
    <x v="18"/>
    <x v="13"/>
    <x v="338"/>
    <x v="338"/>
    <x v="19"/>
    <x v="329"/>
    <x v="330"/>
    <x v="338"/>
    <x v="4"/>
  </r>
  <r>
    <x v="1"/>
    <x v="12"/>
    <x v="339"/>
    <x v="339"/>
    <x v="17"/>
    <x v="330"/>
    <x v="331"/>
    <x v="339"/>
    <x v="0"/>
  </r>
  <r>
    <x v="19"/>
    <x v="13"/>
    <x v="340"/>
    <x v="340"/>
    <x v="19"/>
    <x v="331"/>
    <x v="332"/>
    <x v="340"/>
    <x v="3"/>
  </r>
  <r>
    <x v="20"/>
    <x v="13"/>
    <x v="341"/>
    <x v="341"/>
    <x v="19"/>
    <x v="332"/>
    <x v="333"/>
    <x v="341"/>
    <x v="2"/>
  </r>
  <r>
    <x v="2"/>
    <x v="12"/>
    <x v="342"/>
    <x v="342"/>
    <x v="18"/>
    <x v="333"/>
    <x v="334"/>
    <x v="342"/>
    <x v="0"/>
  </r>
  <r>
    <x v="21"/>
    <x v="13"/>
    <x v="343"/>
    <x v="343"/>
    <x v="19"/>
    <x v="334"/>
    <x v="335"/>
    <x v="343"/>
    <x v="0"/>
  </r>
  <r>
    <x v="22"/>
    <x v="13"/>
    <x v="344"/>
    <x v="344"/>
    <x v="19"/>
    <x v="335"/>
    <x v="336"/>
    <x v="344"/>
    <x v="4"/>
  </r>
  <r>
    <x v="23"/>
    <x v="13"/>
    <x v="345"/>
    <x v="345"/>
    <x v="19"/>
    <x v="336"/>
    <x v="337"/>
    <x v="345"/>
    <x v="3"/>
  </r>
  <r>
    <x v="24"/>
    <x v="13"/>
    <x v="346"/>
    <x v="346"/>
    <x v="19"/>
    <x v="337"/>
    <x v="338"/>
    <x v="346"/>
    <x v="3"/>
  </r>
  <r>
    <x v="25"/>
    <x v="13"/>
    <x v="347"/>
    <x v="347"/>
    <x v="19"/>
    <x v="338"/>
    <x v="339"/>
    <x v="347"/>
    <x v="3"/>
  </r>
  <r>
    <x v="26"/>
    <x v="13"/>
    <x v="348"/>
    <x v="348"/>
    <x v="19"/>
    <x v="339"/>
    <x v="340"/>
    <x v="348"/>
    <x v="2"/>
  </r>
  <r>
    <x v="8"/>
    <x v="14"/>
    <x v="349"/>
    <x v="349"/>
    <x v="0"/>
    <x v="340"/>
    <x v="341"/>
    <x v="349"/>
    <x v="4"/>
  </r>
  <r>
    <x v="16"/>
    <x v="14"/>
    <x v="350"/>
    <x v="350"/>
    <x v="0"/>
    <x v="341"/>
    <x v="77"/>
    <x v="350"/>
    <x v="4"/>
  </r>
  <r>
    <x v="0"/>
    <x v="13"/>
    <x v="351"/>
    <x v="351"/>
    <x v="19"/>
    <x v="342"/>
    <x v="342"/>
    <x v="351"/>
    <x v="0"/>
  </r>
  <r>
    <x v="1"/>
    <x v="13"/>
    <x v="352"/>
    <x v="352"/>
    <x v="19"/>
    <x v="343"/>
    <x v="343"/>
    <x v="352"/>
    <x v="0"/>
  </r>
  <r>
    <x v="2"/>
    <x v="13"/>
    <x v="353"/>
    <x v="353"/>
    <x v="19"/>
    <x v="344"/>
    <x v="344"/>
    <x v="353"/>
    <x v="0"/>
  </r>
  <r>
    <x v="3"/>
    <x v="14"/>
    <x v="354"/>
    <x v="354"/>
    <x v="16"/>
    <x v="345"/>
    <x v="345"/>
    <x v="354"/>
    <x v="1"/>
  </r>
  <r>
    <x v="4"/>
    <x v="14"/>
    <x v="355"/>
    <x v="355"/>
    <x v="7"/>
    <x v="346"/>
    <x v="346"/>
    <x v="355"/>
    <x v="2"/>
  </r>
  <r>
    <x v="5"/>
    <x v="14"/>
    <x v="266"/>
    <x v="356"/>
    <x v="16"/>
    <x v="347"/>
    <x v="347"/>
    <x v="356"/>
    <x v="1"/>
  </r>
  <r>
    <x v="6"/>
    <x v="14"/>
    <x v="356"/>
    <x v="357"/>
    <x v="0"/>
    <x v="348"/>
    <x v="348"/>
    <x v="357"/>
    <x v="3"/>
  </r>
  <r>
    <x v="7"/>
    <x v="14"/>
    <x v="357"/>
    <x v="358"/>
    <x v="0"/>
    <x v="349"/>
    <x v="247"/>
    <x v="358"/>
    <x v="3"/>
  </r>
  <r>
    <x v="9"/>
    <x v="14"/>
    <x v="358"/>
    <x v="359"/>
    <x v="0"/>
    <x v="350"/>
    <x v="349"/>
    <x v="359"/>
    <x v="4"/>
  </r>
  <r>
    <x v="10"/>
    <x v="15"/>
    <x v="359"/>
    <x v="360"/>
    <x v="20"/>
    <x v="351"/>
    <x v="256"/>
    <x v="360"/>
    <x v="0"/>
  </r>
  <r>
    <x v="11"/>
    <x v="14"/>
    <x v="360"/>
    <x v="361"/>
    <x v="0"/>
    <x v="352"/>
    <x v="350"/>
    <x v="361"/>
    <x v="4"/>
  </r>
  <r>
    <x v="12"/>
    <x v="14"/>
    <x v="361"/>
    <x v="362"/>
    <x v="0"/>
    <x v="221"/>
    <x v="351"/>
    <x v="362"/>
    <x v="1"/>
  </r>
  <r>
    <x v="13"/>
    <x v="14"/>
    <x v="362"/>
    <x v="363"/>
    <x v="3"/>
    <x v="353"/>
    <x v="352"/>
    <x v="363"/>
    <x v="2"/>
  </r>
  <r>
    <x v="14"/>
    <x v="14"/>
    <x v="363"/>
    <x v="364"/>
    <x v="7"/>
    <x v="354"/>
    <x v="353"/>
    <x v="364"/>
    <x v="2"/>
  </r>
  <r>
    <x v="15"/>
    <x v="14"/>
    <x v="364"/>
    <x v="365"/>
    <x v="0"/>
    <x v="221"/>
    <x v="354"/>
    <x v="365"/>
    <x v="3"/>
  </r>
  <r>
    <x v="17"/>
    <x v="14"/>
    <x v="365"/>
    <x v="366"/>
    <x v="0"/>
    <x v="355"/>
    <x v="355"/>
    <x v="366"/>
    <x v="1"/>
  </r>
  <r>
    <x v="18"/>
    <x v="14"/>
    <x v="366"/>
    <x v="367"/>
    <x v="0"/>
    <x v="356"/>
    <x v="356"/>
    <x v="367"/>
    <x v="4"/>
  </r>
  <r>
    <x v="19"/>
    <x v="14"/>
    <x v="367"/>
    <x v="368"/>
    <x v="0"/>
    <x v="357"/>
    <x v="357"/>
    <x v="368"/>
    <x v="3"/>
  </r>
  <r>
    <x v="20"/>
    <x v="14"/>
    <x v="368"/>
    <x v="369"/>
    <x v="3"/>
    <x v="358"/>
    <x v="278"/>
    <x v="369"/>
    <x v="2"/>
  </r>
  <r>
    <x v="21"/>
    <x v="14"/>
    <x v="369"/>
    <x v="370"/>
    <x v="3"/>
    <x v="359"/>
    <x v="358"/>
    <x v="370"/>
    <x v="0"/>
  </r>
  <r>
    <x v="22"/>
    <x v="14"/>
    <x v="370"/>
    <x v="371"/>
    <x v="0"/>
    <x v="57"/>
    <x v="359"/>
    <x v="371"/>
    <x v="4"/>
  </r>
  <r>
    <x v="23"/>
    <x v="14"/>
    <x v="371"/>
    <x v="372"/>
    <x v="0"/>
    <x v="360"/>
    <x v="221"/>
    <x v="372"/>
    <x v="3"/>
  </r>
  <r>
    <x v="24"/>
    <x v="14"/>
    <x v="372"/>
    <x v="373"/>
    <x v="0"/>
    <x v="361"/>
    <x v="360"/>
    <x v="373"/>
    <x v="3"/>
  </r>
  <r>
    <x v="25"/>
    <x v="14"/>
    <x v="373"/>
    <x v="374"/>
    <x v="0"/>
    <x v="362"/>
    <x v="64"/>
    <x v="374"/>
    <x v="3"/>
  </r>
  <r>
    <x v="26"/>
    <x v="14"/>
    <x v="374"/>
    <x v="375"/>
    <x v="3"/>
    <x v="363"/>
    <x v="361"/>
    <x v="375"/>
    <x v="2"/>
  </r>
  <r>
    <x v="10"/>
    <x v="14"/>
    <x v="375"/>
    <x v="376"/>
    <x v="3"/>
    <x v="364"/>
    <x v="362"/>
    <x v="376"/>
    <x v="0"/>
  </r>
  <r>
    <x v="27"/>
    <x v="0"/>
    <x v="376"/>
    <x v="377"/>
    <x v="0"/>
    <x v="365"/>
    <x v="363"/>
    <x v="377"/>
    <x v="5"/>
  </r>
  <r>
    <x v="0"/>
    <x v="16"/>
    <x v="377"/>
    <x v="378"/>
    <x v="21"/>
    <x v="366"/>
    <x v="364"/>
    <x v="378"/>
    <x v="0"/>
  </r>
  <r>
    <x v="1"/>
    <x v="15"/>
    <x v="378"/>
    <x v="379"/>
    <x v="20"/>
    <x v="367"/>
    <x v="365"/>
    <x v="379"/>
    <x v="0"/>
  </r>
  <r>
    <x v="28"/>
    <x v="0"/>
    <x v="379"/>
    <x v="380"/>
    <x v="0"/>
    <x v="368"/>
    <x v="366"/>
    <x v="380"/>
    <x v="0"/>
  </r>
  <r>
    <x v="2"/>
    <x v="15"/>
    <x v="380"/>
    <x v="381"/>
    <x v="20"/>
    <x v="369"/>
    <x v="367"/>
    <x v="381"/>
    <x v="0"/>
  </r>
  <r>
    <x v="29"/>
    <x v="1"/>
    <x v="381"/>
    <x v="382"/>
    <x v="2"/>
    <x v="370"/>
    <x v="368"/>
    <x v="382"/>
    <x v="0"/>
  </r>
  <r>
    <x v="30"/>
    <x v="1"/>
    <x v="382"/>
    <x v="383"/>
    <x v="1"/>
    <x v="371"/>
    <x v="369"/>
    <x v="383"/>
    <x v="2"/>
  </r>
  <r>
    <x v="0"/>
    <x v="17"/>
    <x v="383"/>
    <x v="384"/>
    <x v="22"/>
    <x v="372"/>
    <x v="370"/>
    <x v="384"/>
    <x v="0"/>
  </r>
  <r>
    <x v="31"/>
    <x v="1"/>
    <x v="384"/>
    <x v="385"/>
    <x v="1"/>
    <x v="373"/>
    <x v="192"/>
    <x v="385"/>
    <x v="1"/>
  </r>
  <r>
    <x v="1"/>
    <x v="14"/>
    <x v="385"/>
    <x v="386"/>
    <x v="3"/>
    <x v="374"/>
    <x v="371"/>
    <x v="386"/>
    <x v="0"/>
  </r>
  <r>
    <x v="2"/>
    <x v="14"/>
    <x v="386"/>
    <x v="387"/>
    <x v="3"/>
    <x v="375"/>
    <x v="372"/>
    <x v="387"/>
    <x v="0"/>
  </r>
  <r>
    <x v="32"/>
    <x v="1"/>
    <x v="387"/>
    <x v="388"/>
    <x v="1"/>
    <x v="376"/>
    <x v="85"/>
    <x v="388"/>
    <x v="2"/>
  </r>
  <r>
    <x v="33"/>
    <x v="1"/>
    <x v="388"/>
    <x v="389"/>
    <x v="1"/>
    <x v="377"/>
    <x v="373"/>
    <x v="389"/>
    <x v="1"/>
  </r>
  <r>
    <x v="34"/>
    <x v="1"/>
    <x v="389"/>
    <x v="390"/>
    <x v="1"/>
    <x v="196"/>
    <x v="374"/>
    <x v="390"/>
    <x v="1"/>
  </r>
  <r>
    <x v="27"/>
    <x v="1"/>
    <x v="390"/>
    <x v="391"/>
    <x v="1"/>
    <x v="378"/>
    <x v="375"/>
    <x v="391"/>
    <x v="5"/>
  </r>
  <r>
    <x v="0"/>
    <x v="15"/>
    <x v="391"/>
    <x v="392"/>
    <x v="20"/>
    <x v="379"/>
    <x v="376"/>
    <x v="392"/>
    <x v="0"/>
  </r>
  <r>
    <x v="28"/>
    <x v="1"/>
    <x v="392"/>
    <x v="393"/>
    <x v="2"/>
    <x v="380"/>
    <x v="377"/>
    <x v="393"/>
    <x v="0"/>
  </r>
  <r>
    <x v="29"/>
    <x v="2"/>
    <x v="393"/>
    <x v="394"/>
    <x v="5"/>
    <x v="381"/>
    <x v="378"/>
    <x v="394"/>
    <x v="0"/>
  </r>
  <r>
    <x v="30"/>
    <x v="2"/>
    <x v="394"/>
    <x v="395"/>
    <x v="5"/>
    <x v="382"/>
    <x v="379"/>
    <x v="395"/>
    <x v="2"/>
  </r>
  <r>
    <x v="27"/>
    <x v="2"/>
    <x v="395"/>
    <x v="396"/>
    <x v="5"/>
    <x v="383"/>
    <x v="380"/>
    <x v="396"/>
    <x v="5"/>
  </r>
  <r>
    <x v="0"/>
    <x v="14"/>
    <x v="396"/>
    <x v="397"/>
    <x v="3"/>
    <x v="384"/>
    <x v="381"/>
    <x v="397"/>
    <x v="0"/>
  </r>
  <r>
    <x v="31"/>
    <x v="2"/>
    <x v="397"/>
    <x v="398"/>
    <x v="5"/>
    <x v="185"/>
    <x v="382"/>
    <x v="398"/>
    <x v="1"/>
  </r>
  <r>
    <x v="32"/>
    <x v="2"/>
    <x v="398"/>
    <x v="399"/>
    <x v="5"/>
    <x v="385"/>
    <x v="383"/>
    <x v="399"/>
    <x v="2"/>
  </r>
  <r>
    <x v="33"/>
    <x v="2"/>
    <x v="399"/>
    <x v="400"/>
    <x v="5"/>
    <x v="386"/>
    <x v="384"/>
    <x v="400"/>
    <x v="1"/>
  </r>
  <r>
    <x v="34"/>
    <x v="2"/>
    <x v="400"/>
    <x v="401"/>
    <x v="5"/>
    <x v="387"/>
    <x v="385"/>
    <x v="401"/>
    <x v="1"/>
  </r>
  <r>
    <x v="29"/>
    <x v="3"/>
    <x v="401"/>
    <x v="402"/>
    <x v="6"/>
    <x v="388"/>
    <x v="386"/>
    <x v="402"/>
    <x v="0"/>
  </r>
  <r>
    <x v="30"/>
    <x v="3"/>
    <x v="402"/>
    <x v="403"/>
    <x v="6"/>
    <x v="389"/>
    <x v="387"/>
    <x v="403"/>
    <x v="2"/>
  </r>
  <r>
    <x v="27"/>
    <x v="3"/>
    <x v="403"/>
    <x v="404"/>
    <x v="6"/>
    <x v="390"/>
    <x v="388"/>
    <x v="404"/>
    <x v="5"/>
  </r>
  <r>
    <x v="31"/>
    <x v="3"/>
    <x v="404"/>
    <x v="405"/>
    <x v="6"/>
    <x v="391"/>
    <x v="389"/>
    <x v="405"/>
    <x v="1"/>
  </r>
  <r>
    <x v="28"/>
    <x v="2"/>
    <x v="405"/>
    <x v="406"/>
    <x v="5"/>
    <x v="392"/>
    <x v="390"/>
    <x v="406"/>
    <x v="0"/>
  </r>
  <r>
    <x v="32"/>
    <x v="3"/>
    <x v="406"/>
    <x v="407"/>
    <x v="6"/>
    <x v="393"/>
    <x v="391"/>
    <x v="407"/>
    <x v="2"/>
  </r>
  <r>
    <x v="33"/>
    <x v="3"/>
    <x v="246"/>
    <x v="408"/>
    <x v="6"/>
    <x v="394"/>
    <x v="392"/>
    <x v="408"/>
    <x v="1"/>
  </r>
  <r>
    <x v="34"/>
    <x v="3"/>
    <x v="407"/>
    <x v="409"/>
    <x v="6"/>
    <x v="395"/>
    <x v="248"/>
    <x v="409"/>
    <x v="1"/>
  </r>
  <r>
    <x v="28"/>
    <x v="3"/>
    <x v="408"/>
    <x v="410"/>
    <x v="6"/>
    <x v="396"/>
    <x v="393"/>
    <x v="410"/>
    <x v="0"/>
  </r>
  <r>
    <x v="29"/>
    <x v="4"/>
    <x v="409"/>
    <x v="411"/>
    <x v="2"/>
    <x v="370"/>
    <x v="394"/>
    <x v="411"/>
    <x v="0"/>
  </r>
  <r>
    <x v="30"/>
    <x v="4"/>
    <x v="410"/>
    <x v="412"/>
    <x v="2"/>
    <x v="397"/>
    <x v="395"/>
    <x v="412"/>
    <x v="2"/>
  </r>
  <r>
    <x v="27"/>
    <x v="4"/>
    <x v="411"/>
    <x v="413"/>
    <x v="2"/>
    <x v="398"/>
    <x v="396"/>
    <x v="413"/>
    <x v="5"/>
  </r>
  <r>
    <x v="31"/>
    <x v="4"/>
    <x v="412"/>
    <x v="414"/>
    <x v="4"/>
    <x v="399"/>
    <x v="397"/>
    <x v="414"/>
    <x v="1"/>
  </r>
  <r>
    <x v="32"/>
    <x v="4"/>
    <x v="413"/>
    <x v="415"/>
    <x v="4"/>
    <x v="400"/>
    <x v="398"/>
    <x v="415"/>
    <x v="2"/>
  </r>
  <r>
    <x v="33"/>
    <x v="4"/>
    <x v="414"/>
    <x v="416"/>
    <x v="4"/>
    <x v="401"/>
    <x v="399"/>
    <x v="416"/>
    <x v="1"/>
  </r>
  <r>
    <x v="34"/>
    <x v="4"/>
    <x v="415"/>
    <x v="417"/>
    <x v="4"/>
    <x v="402"/>
    <x v="400"/>
    <x v="417"/>
    <x v="1"/>
  </r>
  <r>
    <x v="28"/>
    <x v="4"/>
    <x v="416"/>
    <x v="418"/>
    <x v="2"/>
    <x v="403"/>
    <x v="401"/>
    <x v="418"/>
    <x v="0"/>
  </r>
  <r>
    <x v="29"/>
    <x v="5"/>
    <x v="417"/>
    <x v="419"/>
    <x v="8"/>
    <x v="404"/>
    <x v="402"/>
    <x v="419"/>
    <x v="0"/>
  </r>
  <r>
    <x v="30"/>
    <x v="5"/>
    <x v="418"/>
    <x v="420"/>
    <x v="8"/>
    <x v="405"/>
    <x v="403"/>
    <x v="420"/>
    <x v="2"/>
  </r>
  <r>
    <x v="27"/>
    <x v="5"/>
    <x v="419"/>
    <x v="421"/>
    <x v="9"/>
    <x v="406"/>
    <x v="404"/>
    <x v="421"/>
    <x v="5"/>
  </r>
  <r>
    <x v="31"/>
    <x v="5"/>
    <x v="420"/>
    <x v="422"/>
    <x v="8"/>
    <x v="407"/>
    <x v="405"/>
    <x v="422"/>
    <x v="1"/>
  </r>
  <r>
    <x v="32"/>
    <x v="5"/>
    <x v="421"/>
    <x v="423"/>
    <x v="8"/>
    <x v="408"/>
    <x v="406"/>
    <x v="423"/>
    <x v="2"/>
  </r>
  <r>
    <x v="33"/>
    <x v="5"/>
    <x v="422"/>
    <x v="424"/>
    <x v="8"/>
    <x v="409"/>
    <x v="407"/>
    <x v="424"/>
    <x v="1"/>
  </r>
  <r>
    <x v="34"/>
    <x v="5"/>
    <x v="423"/>
    <x v="425"/>
    <x v="8"/>
    <x v="410"/>
    <x v="408"/>
    <x v="425"/>
    <x v="1"/>
  </r>
  <r>
    <x v="29"/>
    <x v="6"/>
    <x v="424"/>
    <x v="426"/>
    <x v="11"/>
    <x v="411"/>
    <x v="409"/>
    <x v="426"/>
    <x v="0"/>
  </r>
  <r>
    <x v="30"/>
    <x v="6"/>
    <x v="425"/>
    <x v="427"/>
    <x v="10"/>
    <x v="412"/>
    <x v="410"/>
    <x v="427"/>
    <x v="2"/>
  </r>
  <r>
    <x v="27"/>
    <x v="6"/>
    <x v="426"/>
    <x v="428"/>
    <x v="23"/>
    <x v="413"/>
    <x v="411"/>
    <x v="428"/>
    <x v="5"/>
  </r>
  <r>
    <x v="31"/>
    <x v="6"/>
    <x v="427"/>
    <x v="429"/>
    <x v="10"/>
    <x v="414"/>
    <x v="412"/>
    <x v="429"/>
    <x v="1"/>
  </r>
  <r>
    <x v="28"/>
    <x v="5"/>
    <x v="428"/>
    <x v="430"/>
    <x v="8"/>
    <x v="415"/>
    <x v="413"/>
    <x v="430"/>
    <x v="0"/>
  </r>
  <r>
    <x v="32"/>
    <x v="6"/>
    <x v="429"/>
    <x v="431"/>
    <x v="10"/>
    <x v="416"/>
    <x v="414"/>
    <x v="431"/>
    <x v="2"/>
  </r>
  <r>
    <x v="33"/>
    <x v="6"/>
    <x v="430"/>
    <x v="432"/>
    <x v="10"/>
    <x v="417"/>
    <x v="415"/>
    <x v="432"/>
    <x v="1"/>
  </r>
  <r>
    <x v="34"/>
    <x v="6"/>
    <x v="431"/>
    <x v="433"/>
    <x v="10"/>
    <x v="418"/>
    <x v="416"/>
    <x v="433"/>
    <x v="1"/>
  </r>
  <r>
    <x v="29"/>
    <x v="7"/>
    <x v="432"/>
    <x v="434"/>
    <x v="12"/>
    <x v="419"/>
    <x v="417"/>
    <x v="434"/>
    <x v="0"/>
  </r>
  <r>
    <x v="30"/>
    <x v="7"/>
    <x v="433"/>
    <x v="435"/>
    <x v="12"/>
    <x v="420"/>
    <x v="418"/>
    <x v="435"/>
    <x v="2"/>
  </r>
  <r>
    <x v="27"/>
    <x v="7"/>
    <x v="434"/>
    <x v="436"/>
    <x v="13"/>
    <x v="421"/>
    <x v="419"/>
    <x v="436"/>
    <x v="5"/>
  </r>
  <r>
    <x v="31"/>
    <x v="7"/>
    <x v="435"/>
    <x v="437"/>
    <x v="12"/>
    <x v="422"/>
    <x v="420"/>
    <x v="437"/>
    <x v="1"/>
  </r>
  <r>
    <x v="28"/>
    <x v="6"/>
    <x v="436"/>
    <x v="438"/>
    <x v="11"/>
    <x v="423"/>
    <x v="421"/>
    <x v="438"/>
    <x v="0"/>
  </r>
  <r>
    <x v="32"/>
    <x v="7"/>
    <x v="437"/>
    <x v="439"/>
    <x v="12"/>
    <x v="424"/>
    <x v="422"/>
    <x v="439"/>
    <x v="2"/>
  </r>
  <r>
    <x v="33"/>
    <x v="7"/>
    <x v="438"/>
    <x v="440"/>
    <x v="12"/>
    <x v="425"/>
    <x v="423"/>
    <x v="440"/>
    <x v="1"/>
  </r>
  <r>
    <x v="34"/>
    <x v="7"/>
    <x v="439"/>
    <x v="441"/>
    <x v="12"/>
    <x v="426"/>
    <x v="424"/>
    <x v="441"/>
    <x v="1"/>
  </r>
  <r>
    <x v="29"/>
    <x v="8"/>
    <x v="440"/>
    <x v="442"/>
    <x v="1"/>
    <x v="427"/>
    <x v="425"/>
    <x v="442"/>
    <x v="0"/>
  </r>
  <r>
    <x v="30"/>
    <x v="8"/>
    <x v="441"/>
    <x v="443"/>
    <x v="1"/>
    <x v="428"/>
    <x v="426"/>
    <x v="443"/>
    <x v="2"/>
  </r>
  <r>
    <x v="27"/>
    <x v="8"/>
    <x v="442"/>
    <x v="444"/>
    <x v="14"/>
    <x v="429"/>
    <x v="427"/>
    <x v="444"/>
    <x v="5"/>
  </r>
  <r>
    <x v="31"/>
    <x v="8"/>
    <x v="443"/>
    <x v="445"/>
    <x v="1"/>
    <x v="430"/>
    <x v="428"/>
    <x v="445"/>
    <x v="1"/>
  </r>
  <r>
    <x v="28"/>
    <x v="7"/>
    <x v="444"/>
    <x v="446"/>
    <x v="13"/>
    <x v="431"/>
    <x v="429"/>
    <x v="446"/>
    <x v="0"/>
  </r>
  <r>
    <x v="32"/>
    <x v="8"/>
    <x v="445"/>
    <x v="447"/>
    <x v="1"/>
    <x v="398"/>
    <x v="3"/>
    <x v="447"/>
    <x v="2"/>
  </r>
  <r>
    <x v="33"/>
    <x v="8"/>
    <x v="446"/>
    <x v="448"/>
    <x v="1"/>
    <x v="432"/>
    <x v="430"/>
    <x v="448"/>
    <x v="1"/>
  </r>
  <r>
    <x v="34"/>
    <x v="8"/>
    <x v="447"/>
    <x v="449"/>
    <x v="1"/>
    <x v="433"/>
    <x v="431"/>
    <x v="449"/>
    <x v="1"/>
  </r>
  <r>
    <x v="28"/>
    <x v="8"/>
    <x v="448"/>
    <x v="450"/>
    <x v="15"/>
    <x v="28"/>
    <x v="432"/>
    <x v="450"/>
    <x v="0"/>
  </r>
  <r>
    <x v="29"/>
    <x v="9"/>
    <x v="449"/>
    <x v="451"/>
    <x v="7"/>
    <x v="434"/>
    <x v="433"/>
    <x v="451"/>
    <x v="0"/>
  </r>
  <r>
    <x v="30"/>
    <x v="9"/>
    <x v="450"/>
    <x v="452"/>
    <x v="7"/>
    <x v="435"/>
    <x v="434"/>
    <x v="452"/>
    <x v="2"/>
  </r>
  <r>
    <x v="27"/>
    <x v="9"/>
    <x v="451"/>
    <x v="453"/>
    <x v="7"/>
    <x v="436"/>
    <x v="435"/>
    <x v="453"/>
    <x v="5"/>
  </r>
  <r>
    <x v="31"/>
    <x v="9"/>
    <x v="452"/>
    <x v="454"/>
    <x v="0"/>
    <x v="246"/>
    <x v="436"/>
    <x v="454"/>
    <x v="1"/>
  </r>
  <r>
    <x v="32"/>
    <x v="9"/>
    <x v="453"/>
    <x v="455"/>
    <x v="16"/>
    <x v="437"/>
    <x v="437"/>
    <x v="455"/>
    <x v="2"/>
  </r>
  <r>
    <x v="33"/>
    <x v="9"/>
    <x v="454"/>
    <x v="456"/>
    <x v="0"/>
    <x v="354"/>
    <x v="438"/>
    <x v="456"/>
    <x v="1"/>
  </r>
  <r>
    <x v="34"/>
    <x v="9"/>
    <x v="455"/>
    <x v="457"/>
    <x v="0"/>
    <x v="438"/>
    <x v="439"/>
    <x v="457"/>
    <x v="1"/>
  </r>
  <r>
    <x v="29"/>
    <x v="10"/>
    <x v="456"/>
    <x v="458"/>
    <x v="0"/>
    <x v="439"/>
    <x v="440"/>
    <x v="458"/>
    <x v="0"/>
  </r>
  <r>
    <x v="30"/>
    <x v="10"/>
    <x v="457"/>
    <x v="459"/>
    <x v="0"/>
    <x v="440"/>
    <x v="441"/>
    <x v="459"/>
    <x v="2"/>
  </r>
  <r>
    <x v="27"/>
    <x v="10"/>
    <x v="458"/>
    <x v="460"/>
    <x v="16"/>
    <x v="441"/>
    <x v="442"/>
    <x v="460"/>
    <x v="5"/>
  </r>
  <r>
    <x v="31"/>
    <x v="10"/>
    <x v="459"/>
    <x v="461"/>
    <x v="0"/>
    <x v="442"/>
    <x v="443"/>
    <x v="461"/>
    <x v="1"/>
  </r>
  <r>
    <x v="28"/>
    <x v="9"/>
    <x v="460"/>
    <x v="462"/>
    <x v="7"/>
    <x v="443"/>
    <x v="444"/>
    <x v="462"/>
    <x v="0"/>
  </r>
  <r>
    <x v="32"/>
    <x v="10"/>
    <x v="461"/>
    <x v="463"/>
    <x v="0"/>
    <x v="444"/>
    <x v="445"/>
    <x v="463"/>
    <x v="2"/>
  </r>
  <r>
    <x v="33"/>
    <x v="10"/>
    <x v="462"/>
    <x v="464"/>
    <x v="0"/>
    <x v="78"/>
    <x v="446"/>
    <x v="464"/>
    <x v="1"/>
  </r>
  <r>
    <x v="34"/>
    <x v="10"/>
    <x v="463"/>
    <x v="465"/>
    <x v="0"/>
    <x v="445"/>
    <x v="447"/>
    <x v="465"/>
    <x v="1"/>
  </r>
  <r>
    <x v="29"/>
    <x v="11"/>
    <x v="464"/>
    <x v="466"/>
    <x v="2"/>
    <x v="446"/>
    <x v="400"/>
    <x v="466"/>
    <x v="0"/>
  </r>
  <r>
    <x v="30"/>
    <x v="11"/>
    <x v="465"/>
    <x v="467"/>
    <x v="4"/>
    <x v="447"/>
    <x v="448"/>
    <x v="467"/>
    <x v="2"/>
  </r>
  <r>
    <x v="27"/>
    <x v="11"/>
    <x v="466"/>
    <x v="468"/>
    <x v="1"/>
    <x v="212"/>
    <x v="449"/>
    <x v="468"/>
    <x v="5"/>
  </r>
  <r>
    <x v="31"/>
    <x v="11"/>
    <x v="467"/>
    <x v="469"/>
    <x v="4"/>
    <x v="448"/>
    <x v="450"/>
    <x v="469"/>
    <x v="1"/>
  </r>
  <r>
    <x v="28"/>
    <x v="10"/>
    <x v="468"/>
    <x v="470"/>
    <x v="16"/>
    <x v="449"/>
    <x v="451"/>
    <x v="470"/>
    <x v="0"/>
  </r>
  <r>
    <x v="32"/>
    <x v="11"/>
    <x v="469"/>
    <x v="471"/>
    <x v="4"/>
    <x v="450"/>
    <x v="452"/>
    <x v="471"/>
    <x v="2"/>
  </r>
  <r>
    <x v="33"/>
    <x v="11"/>
    <x v="470"/>
    <x v="472"/>
    <x v="4"/>
    <x v="451"/>
    <x v="453"/>
    <x v="472"/>
    <x v="1"/>
  </r>
  <r>
    <x v="34"/>
    <x v="11"/>
    <x v="471"/>
    <x v="473"/>
    <x v="4"/>
    <x v="452"/>
    <x v="454"/>
    <x v="473"/>
    <x v="1"/>
  </r>
  <r>
    <x v="28"/>
    <x v="11"/>
    <x v="472"/>
    <x v="474"/>
    <x v="2"/>
    <x v="453"/>
    <x v="455"/>
    <x v="474"/>
    <x v="0"/>
  </r>
  <r>
    <x v="29"/>
    <x v="12"/>
    <x v="473"/>
    <x v="475"/>
    <x v="17"/>
    <x v="454"/>
    <x v="456"/>
    <x v="475"/>
    <x v="0"/>
  </r>
  <r>
    <x v="30"/>
    <x v="12"/>
    <x v="474"/>
    <x v="476"/>
    <x v="18"/>
    <x v="455"/>
    <x v="457"/>
    <x v="476"/>
    <x v="2"/>
  </r>
  <r>
    <x v="27"/>
    <x v="12"/>
    <x v="475"/>
    <x v="477"/>
    <x v="17"/>
    <x v="456"/>
    <x v="458"/>
    <x v="477"/>
    <x v="5"/>
  </r>
  <r>
    <x v="31"/>
    <x v="12"/>
    <x v="476"/>
    <x v="478"/>
    <x v="18"/>
    <x v="457"/>
    <x v="459"/>
    <x v="478"/>
    <x v="1"/>
  </r>
  <r>
    <x v="32"/>
    <x v="12"/>
    <x v="477"/>
    <x v="479"/>
    <x v="18"/>
    <x v="458"/>
    <x v="460"/>
    <x v="479"/>
    <x v="2"/>
  </r>
  <r>
    <x v="33"/>
    <x v="12"/>
    <x v="478"/>
    <x v="480"/>
    <x v="18"/>
    <x v="459"/>
    <x v="461"/>
    <x v="480"/>
    <x v="1"/>
  </r>
  <r>
    <x v="34"/>
    <x v="12"/>
    <x v="479"/>
    <x v="481"/>
    <x v="18"/>
    <x v="460"/>
    <x v="462"/>
    <x v="481"/>
    <x v="1"/>
  </r>
  <r>
    <x v="29"/>
    <x v="13"/>
    <x v="480"/>
    <x v="482"/>
    <x v="19"/>
    <x v="461"/>
    <x v="463"/>
    <x v="482"/>
    <x v="0"/>
  </r>
  <r>
    <x v="30"/>
    <x v="13"/>
    <x v="481"/>
    <x v="483"/>
    <x v="19"/>
    <x v="462"/>
    <x v="464"/>
    <x v="483"/>
    <x v="2"/>
  </r>
  <r>
    <x v="27"/>
    <x v="13"/>
    <x v="482"/>
    <x v="484"/>
    <x v="19"/>
    <x v="463"/>
    <x v="465"/>
    <x v="484"/>
    <x v="5"/>
  </r>
  <r>
    <x v="31"/>
    <x v="13"/>
    <x v="483"/>
    <x v="485"/>
    <x v="19"/>
    <x v="464"/>
    <x v="466"/>
    <x v="485"/>
    <x v="1"/>
  </r>
  <r>
    <x v="28"/>
    <x v="12"/>
    <x v="484"/>
    <x v="486"/>
    <x v="17"/>
    <x v="465"/>
    <x v="467"/>
    <x v="486"/>
    <x v="0"/>
  </r>
  <r>
    <x v="32"/>
    <x v="13"/>
    <x v="485"/>
    <x v="487"/>
    <x v="19"/>
    <x v="466"/>
    <x v="468"/>
    <x v="487"/>
    <x v="2"/>
  </r>
  <r>
    <x v="33"/>
    <x v="13"/>
    <x v="486"/>
    <x v="488"/>
    <x v="19"/>
    <x v="467"/>
    <x v="469"/>
    <x v="488"/>
    <x v="1"/>
  </r>
  <r>
    <x v="34"/>
    <x v="13"/>
    <x v="487"/>
    <x v="489"/>
    <x v="19"/>
    <x v="468"/>
    <x v="470"/>
    <x v="489"/>
    <x v="1"/>
  </r>
  <r>
    <x v="28"/>
    <x v="13"/>
    <x v="488"/>
    <x v="490"/>
    <x v="19"/>
    <x v="469"/>
    <x v="471"/>
    <x v="490"/>
    <x v="0"/>
  </r>
  <r>
    <x v="29"/>
    <x v="15"/>
    <x v="489"/>
    <x v="491"/>
    <x v="20"/>
    <x v="470"/>
    <x v="366"/>
    <x v="491"/>
    <x v="0"/>
  </r>
  <r>
    <x v="30"/>
    <x v="14"/>
    <x v="490"/>
    <x v="492"/>
    <x v="3"/>
    <x v="471"/>
    <x v="387"/>
    <x v="492"/>
    <x v="2"/>
  </r>
  <r>
    <x v="27"/>
    <x v="16"/>
    <x v="491"/>
    <x v="493"/>
    <x v="21"/>
    <x v="247"/>
    <x v="472"/>
    <x v="493"/>
    <x v="5"/>
  </r>
  <r>
    <x v="31"/>
    <x v="14"/>
    <x v="492"/>
    <x v="494"/>
    <x v="0"/>
    <x v="348"/>
    <x v="473"/>
    <x v="494"/>
    <x v="1"/>
  </r>
  <r>
    <x v="32"/>
    <x v="14"/>
    <x v="493"/>
    <x v="495"/>
    <x v="16"/>
    <x v="472"/>
    <x v="474"/>
    <x v="495"/>
    <x v="2"/>
  </r>
  <r>
    <x v="33"/>
    <x v="14"/>
    <x v="494"/>
    <x v="496"/>
    <x v="16"/>
    <x v="473"/>
    <x v="475"/>
    <x v="496"/>
    <x v="1"/>
  </r>
  <r>
    <x v="34"/>
    <x v="14"/>
    <x v="495"/>
    <x v="497"/>
    <x v="16"/>
    <x v="474"/>
    <x v="476"/>
    <x v="497"/>
    <x v="1"/>
  </r>
  <r>
    <x v="29"/>
    <x v="14"/>
    <x v="496"/>
    <x v="498"/>
    <x v="3"/>
    <x v="475"/>
    <x v="451"/>
    <x v="498"/>
    <x v="0"/>
  </r>
  <r>
    <x v="27"/>
    <x v="17"/>
    <x v="497"/>
    <x v="499"/>
    <x v="22"/>
    <x v="476"/>
    <x v="477"/>
    <x v="499"/>
    <x v="5"/>
  </r>
  <r>
    <x v="28"/>
    <x v="15"/>
    <x v="498"/>
    <x v="500"/>
    <x v="20"/>
    <x v="477"/>
    <x v="478"/>
    <x v="500"/>
    <x v="0"/>
  </r>
  <r>
    <x v="27"/>
    <x v="15"/>
    <x v="499"/>
    <x v="501"/>
    <x v="20"/>
    <x v="478"/>
    <x v="479"/>
    <x v="501"/>
    <x v="5"/>
  </r>
  <r>
    <x v="28"/>
    <x v="14"/>
    <x v="500"/>
    <x v="502"/>
    <x v="3"/>
    <x v="479"/>
    <x v="480"/>
    <x v="502"/>
    <x v="0"/>
  </r>
  <r>
    <x v="27"/>
    <x v="14"/>
    <x v="501"/>
    <x v="503"/>
    <x v="3"/>
    <x v="480"/>
    <x v="481"/>
    <x v="503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4">
  <r>
    <x v="0"/>
    <x v="0"/>
    <x v="0"/>
  </r>
  <r>
    <x v="1"/>
    <x v="1"/>
    <x v="0"/>
  </r>
  <r>
    <x v="2"/>
    <x v="2"/>
    <x v="0"/>
  </r>
  <r>
    <x v="3"/>
    <x v="3"/>
    <x v="1"/>
  </r>
  <r>
    <x v="4"/>
    <x v="4"/>
    <x v="2"/>
  </r>
  <r>
    <x v="5"/>
    <x v="5"/>
    <x v="1"/>
  </r>
  <r>
    <x v="6"/>
    <x v="6"/>
    <x v="3"/>
  </r>
  <r>
    <x v="7"/>
    <x v="7"/>
    <x v="3"/>
  </r>
  <r>
    <x v="8"/>
    <x v="8"/>
    <x v="4"/>
  </r>
  <r>
    <x v="9"/>
    <x v="9"/>
    <x v="4"/>
  </r>
  <r>
    <x v="10"/>
    <x v="10"/>
    <x v="0"/>
  </r>
  <r>
    <x v="11"/>
    <x v="11"/>
    <x v="4"/>
  </r>
  <r>
    <x v="12"/>
    <x v="12"/>
    <x v="1"/>
  </r>
  <r>
    <x v="13"/>
    <x v="13"/>
    <x v="2"/>
  </r>
  <r>
    <x v="14"/>
    <x v="14"/>
    <x v="2"/>
  </r>
  <r>
    <x v="15"/>
    <x v="15"/>
    <x v="3"/>
  </r>
  <r>
    <x v="16"/>
    <x v="16"/>
    <x v="4"/>
  </r>
  <r>
    <x v="17"/>
    <x v="17"/>
    <x v="1"/>
  </r>
  <r>
    <x v="18"/>
    <x v="18"/>
    <x v="4"/>
  </r>
  <r>
    <x v="19"/>
    <x v="19"/>
    <x v="3"/>
  </r>
  <r>
    <x v="20"/>
    <x v="20"/>
    <x v="2"/>
  </r>
  <r>
    <x v="21"/>
    <x v="21"/>
    <x v="0"/>
  </r>
  <r>
    <x v="22"/>
    <x v="22"/>
    <x v="4"/>
  </r>
  <r>
    <x v="23"/>
    <x v="23"/>
    <x v="3"/>
  </r>
  <r>
    <x v="24"/>
    <x v="24"/>
    <x v="3"/>
  </r>
  <r>
    <x v="25"/>
    <x v="25"/>
    <x v="3"/>
  </r>
  <r>
    <x v="26"/>
    <x v="26"/>
    <x v="2"/>
  </r>
  <r>
    <x v="27"/>
    <x v="27"/>
    <x v="0"/>
  </r>
  <r>
    <x v="28"/>
    <x v="28"/>
    <x v="0"/>
  </r>
  <r>
    <x v="29"/>
    <x v="29"/>
    <x v="0"/>
  </r>
  <r>
    <x v="30"/>
    <x v="30"/>
    <x v="1"/>
  </r>
  <r>
    <x v="31"/>
    <x v="31"/>
    <x v="2"/>
  </r>
  <r>
    <x v="32"/>
    <x v="32"/>
    <x v="1"/>
  </r>
  <r>
    <x v="33"/>
    <x v="33"/>
    <x v="3"/>
  </r>
  <r>
    <x v="34"/>
    <x v="34"/>
    <x v="3"/>
  </r>
  <r>
    <x v="35"/>
    <x v="35"/>
    <x v="4"/>
  </r>
  <r>
    <x v="36"/>
    <x v="36"/>
    <x v="4"/>
  </r>
  <r>
    <x v="37"/>
    <x v="37"/>
    <x v="0"/>
  </r>
  <r>
    <x v="38"/>
    <x v="38"/>
    <x v="4"/>
  </r>
  <r>
    <x v="39"/>
    <x v="39"/>
    <x v="1"/>
  </r>
  <r>
    <x v="40"/>
    <x v="40"/>
    <x v="2"/>
  </r>
  <r>
    <x v="41"/>
    <x v="41"/>
    <x v="2"/>
  </r>
  <r>
    <x v="42"/>
    <x v="42"/>
    <x v="3"/>
  </r>
  <r>
    <x v="43"/>
    <x v="43"/>
    <x v="4"/>
  </r>
  <r>
    <x v="44"/>
    <x v="44"/>
    <x v="1"/>
  </r>
  <r>
    <x v="45"/>
    <x v="45"/>
    <x v="4"/>
  </r>
  <r>
    <x v="46"/>
    <x v="46"/>
    <x v="3"/>
  </r>
  <r>
    <x v="47"/>
    <x v="47"/>
    <x v="2"/>
  </r>
  <r>
    <x v="48"/>
    <x v="48"/>
    <x v="0"/>
  </r>
  <r>
    <x v="49"/>
    <x v="49"/>
    <x v="4"/>
  </r>
  <r>
    <x v="50"/>
    <x v="50"/>
    <x v="3"/>
  </r>
  <r>
    <x v="51"/>
    <x v="51"/>
    <x v="3"/>
  </r>
  <r>
    <x v="52"/>
    <x v="52"/>
    <x v="3"/>
  </r>
  <r>
    <x v="53"/>
    <x v="53"/>
    <x v="2"/>
  </r>
  <r>
    <x v="54"/>
    <x v="54"/>
    <x v="1"/>
  </r>
  <r>
    <x v="55"/>
    <x v="55"/>
    <x v="2"/>
  </r>
  <r>
    <x v="56"/>
    <x v="56"/>
    <x v="1"/>
  </r>
  <r>
    <x v="57"/>
    <x v="57"/>
    <x v="3"/>
  </r>
  <r>
    <x v="58"/>
    <x v="58"/>
    <x v="3"/>
  </r>
  <r>
    <x v="59"/>
    <x v="59"/>
    <x v="4"/>
  </r>
  <r>
    <x v="60"/>
    <x v="60"/>
    <x v="4"/>
  </r>
  <r>
    <x v="61"/>
    <x v="61"/>
    <x v="0"/>
  </r>
  <r>
    <x v="62"/>
    <x v="62"/>
    <x v="4"/>
  </r>
  <r>
    <x v="63"/>
    <x v="63"/>
    <x v="1"/>
  </r>
  <r>
    <x v="64"/>
    <x v="64"/>
    <x v="2"/>
  </r>
  <r>
    <x v="65"/>
    <x v="65"/>
    <x v="2"/>
  </r>
  <r>
    <x v="66"/>
    <x v="66"/>
    <x v="3"/>
  </r>
  <r>
    <x v="67"/>
    <x v="67"/>
    <x v="4"/>
  </r>
  <r>
    <x v="68"/>
    <x v="68"/>
    <x v="1"/>
  </r>
  <r>
    <x v="69"/>
    <x v="69"/>
    <x v="0"/>
  </r>
  <r>
    <x v="70"/>
    <x v="70"/>
    <x v="4"/>
  </r>
  <r>
    <x v="71"/>
    <x v="71"/>
    <x v="0"/>
  </r>
  <r>
    <x v="72"/>
    <x v="72"/>
    <x v="3"/>
  </r>
  <r>
    <x v="73"/>
    <x v="73"/>
    <x v="2"/>
  </r>
  <r>
    <x v="74"/>
    <x v="74"/>
    <x v="0"/>
  </r>
  <r>
    <x v="75"/>
    <x v="75"/>
    <x v="0"/>
  </r>
  <r>
    <x v="76"/>
    <x v="76"/>
    <x v="4"/>
  </r>
  <r>
    <x v="77"/>
    <x v="77"/>
    <x v="3"/>
  </r>
  <r>
    <x v="78"/>
    <x v="78"/>
    <x v="3"/>
  </r>
  <r>
    <x v="79"/>
    <x v="79"/>
    <x v="3"/>
  </r>
  <r>
    <x v="80"/>
    <x v="80"/>
    <x v="2"/>
  </r>
  <r>
    <x v="81"/>
    <x v="81"/>
    <x v="0"/>
  </r>
  <r>
    <x v="82"/>
    <x v="82"/>
    <x v="0"/>
  </r>
  <r>
    <x v="83"/>
    <x v="83"/>
    <x v="0"/>
  </r>
  <r>
    <x v="84"/>
    <x v="84"/>
    <x v="1"/>
  </r>
  <r>
    <x v="85"/>
    <x v="85"/>
    <x v="2"/>
  </r>
  <r>
    <x v="86"/>
    <x v="86"/>
    <x v="1"/>
  </r>
  <r>
    <x v="87"/>
    <x v="87"/>
    <x v="3"/>
  </r>
  <r>
    <x v="88"/>
    <x v="88"/>
    <x v="3"/>
  </r>
  <r>
    <x v="89"/>
    <x v="89"/>
    <x v="4"/>
  </r>
  <r>
    <x v="90"/>
    <x v="90"/>
    <x v="4"/>
  </r>
  <r>
    <x v="91"/>
    <x v="91"/>
    <x v="0"/>
  </r>
  <r>
    <x v="92"/>
    <x v="92"/>
    <x v="4"/>
  </r>
  <r>
    <x v="93"/>
    <x v="93"/>
    <x v="1"/>
  </r>
  <r>
    <x v="94"/>
    <x v="94"/>
    <x v="2"/>
  </r>
  <r>
    <x v="95"/>
    <x v="95"/>
    <x v="2"/>
  </r>
  <r>
    <x v="96"/>
    <x v="96"/>
    <x v="3"/>
  </r>
  <r>
    <x v="97"/>
    <x v="97"/>
    <x v="4"/>
  </r>
  <r>
    <x v="98"/>
    <x v="98"/>
    <x v="1"/>
  </r>
  <r>
    <x v="99"/>
    <x v="99"/>
    <x v="4"/>
  </r>
  <r>
    <x v="100"/>
    <x v="100"/>
    <x v="3"/>
  </r>
  <r>
    <x v="101"/>
    <x v="101"/>
    <x v="2"/>
  </r>
  <r>
    <x v="102"/>
    <x v="102"/>
    <x v="0"/>
  </r>
  <r>
    <x v="103"/>
    <x v="103"/>
    <x v="4"/>
  </r>
  <r>
    <x v="104"/>
    <x v="104"/>
    <x v="3"/>
  </r>
  <r>
    <x v="105"/>
    <x v="105"/>
    <x v="3"/>
  </r>
  <r>
    <x v="106"/>
    <x v="106"/>
    <x v="3"/>
  </r>
  <r>
    <x v="107"/>
    <x v="107"/>
    <x v="2"/>
  </r>
  <r>
    <x v="108"/>
    <x v="108"/>
    <x v="0"/>
  </r>
  <r>
    <x v="109"/>
    <x v="109"/>
    <x v="0"/>
  </r>
  <r>
    <x v="110"/>
    <x v="110"/>
    <x v="0"/>
  </r>
  <r>
    <x v="111"/>
    <x v="111"/>
    <x v="1"/>
  </r>
  <r>
    <x v="112"/>
    <x v="112"/>
    <x v="2"/>
  </r>
  <r>
    <x v="113"/>
    <x v="113"/>
    <x v="1"/>
  </r>
  <r>
    <x v="114"/>
    <x v="114"/>
    <x v="3"/>
  </r>
  <r>
    <x v="115"/>
    <x v="115"/>
    <x v="3"/>
  </r>
  <r>
    <x v="116"/>
    <x v="116"/>
    <x v="4"/>
  </r>
  <r>
    <x v="117"/>
    <x v="117"/>
    <x v="4"/>
  </r>
  <r>
    <x v="118"/>
    <x v="118"/>
    <x v="0"/>
  </r>
  <r>
    <x v="119"/>
    <x v="119"/>
    <x v="4"/>
  </r>
  <r>
    <x v="120"/>
    <x v="120"/>
    <x v="1"/>
  </r>
  <r>
    <x v="121"/>
    <x v="121"/>
    <x v="2"/>
  </r>
  <r>
    <x v="122"/>
    <x v="122"/>
    <x v="2"/>
  </r>
  <r>
    <x v="123"/>
    <x v="123"/>
    <x v="3"/>
  </r>
  <r>
    <x v="124"/>
    <x v="124"/>
    <x v="4"/>
  </r>
  <r>
    <x v="125"/>
    <x v="125"/>
    <x v="1"/>
  </r>
  <r>
    <x v="126"/>
    <x v="126"/>
    <x v="4"/>
  </r>
  <r>
    <x v="127"/>
    <x v="127"/>
    <x v="3"/>
  </r>
  <r>
    <x v="128"/>
    <x v="128"/>
    <x v="2"/>
  </r>
  <r>
    <x v="129"/>
    <x v="129"/>
    <x v="0"/>
  </r>
  <r>
    <x v="130"/>
    <x v="130"/>
    <x v="4"/>
  </r>
  <r>
    <x v="131"/>
    <x v="131"/>
    <x v="3"/>
  </r>
  <r>
    <x v="132"/>
    <x v="132"/>
    <x v="3"/>
  </r>
  <r>
    <x v="133"/>
    <x v="133"/>
    <x v="3"/>
  </r>
  <r>
    <x v="134"/>
    <x v="134"/>
    <x v="2"/>
  </r>
  <r>
    <x v="135"/>
    <x v="135"/>
    <x v="1"/>
  </r>
  <r>
    <x v="136"/>
    <x v="136"/>
    <x v="2"/>
  </r>
  <r>
    <x v="137"/>
    <x v="137"/>
    <x v="1"/>
  </r>
  <r>
    <x v="138"/>
    <x v="138"/>
    <x v="3"/>
  </r>
  <r>
    <x v="139"/>
    <x v="139"/>
    <x v="3"/>
  </r>
  <r>
    <x v="140"/>
    <x v="140"/>
    <x v="4"/>
  </r>
  <r>
    <x v="141"/>
    <x v="141"/>
    <x v="4"/>
  </r>
  <r>
    <x v="142"/>
    <x v="142"/>
    <x v="0"/>
  </r>
  <r>
    <x v="143"/>
    <x v="143"/>
    <x v="4"/>
  </r>
  <r>
    <x v="144"/>
    <x v="144"/>
    <x v="1"/>
  </r>
  <r>
    <x v="145"/>
    <x v="145"/>
    <x v="2"/>
  </r>
  <r>
    <x v="146"/>
    <x v="146"/>
    <x v="2"/>
  </r>
  <r>
    <x v="147"/>
    <x v="147"/>
    <x v="3"/>
  </r>
  <r>
    <x v="148"/>
    <x v="148"/>
    <x v="4"/>
  </r>
  <r>
    <x v="149"/>
    <x v="149"/>
    <x v="1"/>
  </r>
  <r>
    <x v="150"/>
    <x v="150"/>
    <x v="0"/>
  </r>
  <r>
    <x v="151"/>
    <x v="151"/>
    <x v="4"/>
  </r>
  <r>
    <x v="152"/>
    <x v="152"/>
    <x v="0"/>
  </r>
  <r>
    <x v="153"/>
    <x v="153"/>
    <x v="3"/>
  </r>
  <r>
    <x v="154"/>
    <x v="154"/>
    <x v="2"/>
  </r>
  <r>
    <x v="155"/>
    <x v="155"/>
    <x v="0"/>
  </r>
  <r>
    <x v="156"/>
    <x v="156"/>
    <x v="0"/>
  </r>
  <r>
    <x v="157"/>
    <x v="157"/>
    <x v="4"/>
  </r>
  <r>
    <x v="158"/>
    <x v="158"/>
    <x v="3"/>
  </r>
  <r>
    <x v="159"/>
    <x v="159"/>
    <x v="3"/>
  </r>
  <r>
    <x v="160"/>
    <x v="160"/>
    <x v="3"/>
  </r>
  <r>
    <x v="161"/>
    <x v="161"/>
    <x v="2"/>
  </r>
  <r>
    <x v="162"/>
    <x v="162"/>
    <x v="1"/>
  </r>
  <r>
    <x v="163"/>
    <x v="163"/>
    <x v="2"/>
  </r>
  <r>
    <x v="164"/>
    <x v="164"/>
    <x v="1"/>
  </r>
  <r>
    <x v="165"/>
    <x v="165"/>
    <x v="3"/>
  </r>
  <r>
    <x v="166"/>
    <x v="166"/>
    <x v="3"/>
  </r>
  <r>
    <x v="167"/>
    <x v="167"/>
    <x v="4"/>
  </r>
  <r>
    <x v="168"/>
    <x v="168"/>
    <x v="4"/>
  </r>
  <r>
    <x v="169"/>
    <x v="169"/>
    <x v="0"/>
  </r>
  <r>
    <x v="170"/>
    <x v="170"/>
    <x v="4"/>
  </r>
  <r>
    <x v="171"/>
    <x v="171"/>
    <x v="1"/>
  </r>
  <r>
    <x v="172"/>
    <x v="172"/>
    <x v="2"/>
  </r>
  <r>
    <x v="173"/>
    <x v="173"/>
    <x v="2"/>
  </r>
  <r>
    <x v="174"/>
    <x v="174"/>
    <x v="3"/>
  </r>
  <r>
    <x v="175"/>
    <x v="175"/>
    <x v="4"/>
  </r>
  <r>
    <x v="176"/>
    <x v="176"/>
    <x v="1"/>
  </r>
  <r>
    <x v="177"/>
    <x v="177"/>
    <x v="0"/>
  </r>
  <r>
    <x v="178"/>
    <x v="178"/>
    <x v="4"/>
  </r>
  <r>
    <x v="179"/>
    <x v="179"/>
    <x v="0"/>
  </r>
  <r>
    <x v="180"/>
    <x v="180"/>
    <x v="3"/>
  </r>
  <r>
    <x v="181"/>
    <x v="181"/>
    <x v="2"/>
  </r>
  <r>
    <x v="182"/>
    <x v="182"/>
    <x v="0"/>
  </r>
  <r>
    <x v="183"/>
    <x v="183"/>
    <x v="0"/>
  </r>
  <r>
    <x v="184"/>
    <x v="184"/>
    <x v="4"/>
  </r>
  <r>
    <x v="185"/>
    <x v="185"/>
    <x v="3"/>
  </r>
  <r>
    <x v="186"/>
    <x v="186"/>
    <x v="3"/>
  </r>
  <r>
    <x v="187"/>
    <x v="187"/>
    <x v="3"/>
  </r>
  <r>
    <x v="188"/>
    <x v="188"/>
    <x v="2"/>
  </r>
  <r>
    <x v="189"/>
    <x v="189"/>
    <x v="1"/>
  </r>
  <r>
    <x v="190"/>
    <x v="190"/>
    <x v="2"/>
  </r>
  <r>
    <x v="191"/>
    <x v="191"/>
    <x v="1"/>
  </r>
  <r>
    <x v="192"/>
    <x v="192"/>
    <x v="3"/>
  </r>
  <r>
    <x v="193"/>
    <x v="193"/>
    <x v="3"/>
  </r>
  <r>
    <x v="194"/>
    <x v="194"/>
    <x v="4"/>
  </r>
  <r>
    <x v="195"/>
    <x v="195"/>
    <x v="4"/>
  </r>
  <r>
    <x v="196"/>
    <x v="196"/>
    <x v="0"/>
  </r>
  <r>
    <x v="197"/>
    <x v="197"/>
    <x v="4"/>
  </r>
  <r>
    <x v="198"/>
    <x v="198"/>
    <x v="1"/>
  </r>
  <r>
    <x v="199"/>
    <x v="199"/>
    <x v="2"/>
  </r>
  <r>
    <x v="200"/>
    <x v="200"/>
    <x v="2"/>
  </r>
  <r>
    <x v="201"/>
    <x v="201"/>
    <x v="3"/>
  </r>
  <r>
    <x v="202"/>
    <x v="202"/>
    <x v="4"/>
  </r>
  <r>
    <x v="203"/>
    <x v="203"/>
    <x v="1"/>
  </r>
  <r>
    <x v="204"/>
    <x v="204"/>
    <x v="0"/>
  </r>
  <r>
    <x v="205"/>
    <x v="205"/>
    <x v="4"/>
  </r>
  <r>
    <x v="206"/>
    <x v="206"/>
    <x v="0"/>
  </r>
  <r>
    <x v="207"/>
    <x v="207"/>
    <x v="3"/>
  </r>
  <r>
    <x v="208"/>
    <x v="208"/>
    <x v="2"/>
  </r>
  <r>
    <x v="209"/>
    <x v="209"/>
    <x v="0"/>
  </r>
  <r>
    <x v="210"/>
    <x v="210"/>
    <x v="0"/>
  </r>
  <r>
    <x v="211"/>
    <x v="211"/>
    <x v="4"/>
  </r>
  <r>
    <x v="212"/>
    <x v="212"/>
    <x v="3"/>
  </r>
  <r>
    <x v="213"/>
    <x v="213"/>
    <x v="3"/>
  </r>
  <r>
    <x v="214"/>
    <x v="214"/>
    <x v="3"/>
  </r>
  <r>
    <x v="215"/>
    <x v="215"/>
    <x v="2"/>
  </r>
  <r>
    <x v="216"/>
    <x v="216"/>
    <x v="0"/>
  </r>
  <r>
    <x v="217"/>
    <x v="217"/>
    <x v="0"/>
  </r>
  <r>
    <x v="218"/>
    <x v="218"/>
    <x v="0"/>
  </r>
  <r>
    <x v="219"/>
    <x v="219"/>
    <x v="1"/>
  </r>
  <r>
    <x v="220"/>
    <x v="220"/>
    <x v="2"/>
  </r>
  <r>
    <x v="221"/>
    <x v="221"/>
    <x v="1"/>
  </r>
  <r>
    <x v="222"/>
    <x v="222"/>
    <x v="3"/>
  </r>
  <r>
    <x v="223"/>
    <x v="223"/>
    <x v="3"/>
  </r>
  <r>
    <x v="224"/>
    <x v="224"/>
    <x v="4"/>
  </r>
  <r>
    <x v="225"/>
    <x v="225"/>
    <x v="4"/>
  </r>
  <r>
    <x v="226"/>
    <x v="226"/>
    <x v="0"/>
  </r>
  <r>
    <x v="227"/>
    <x v="227"/>
    <x v="4"/>
  </r>
  <r>
    <x v="228"/>
    <x v="228"/>
    <x v="1"/>
  </r>
  <r>
    <x v="229"/>
    <x v="229"/>
    <x v="2"/>
  </r>
  <r>
    <x v="230"/>
    <x v="230"/>
    <x v="2"/>
  </r>
  <r>
    <x v="231"/>
    <x v="231"/>
    <x v="3"/>
  </r>
  <r>
    <x v="232"/>
    <x v="232"/>
    <x v="4"/>
  </r>
  <r>
    <x v="233"/>
    <x v="233"/>
    <x v="1"/>
  </r>
  <r>
    <x v="234"/>
    <x v="234"/>
    <x v="4"/>
  </r>
  <r>
    <x v="235"/>
    <x v="235"/>
    <x v="3"/>
  </r>
  <r>
    <x v="236"/>
    <x v="236"/>
    <x v="2"/>
  </r>
  <r>
    <x v="237"/>
    <x v="237"/>
    <x v="0"/>
  </r>
  <r>
    <x v="238"/>
    <x v="238"/>
    <x v="4"/>
  </r>
  <r>
    <x v="239"/>
    <x v="239"/>
    <x v="3"/>
  </r>
  <r>
    <x v="240"/>
    <x v="240"/>
    <x v="3"/>
  </r>
  <r>
    <x v="241"/>
    <x v="241"/>
    <x v="3"/>
  </r>
  <r>
    <x v="242"/>
    <x v="242"/>
    <x v="2"/>
  </r>
  <r>
    <x v="243"/>
    <x v="243"/>
    <x v="1"/>
  </r>
  <r>
    <x v="244"/>
    <x v="244"/>
    <x v="2"/>
  </r>
  <r>
    <x v="245"/>
    <x v="245"/>
    <x v="1"/>
  </r>
  <r>
    <x v="246"/>
    <x v="246"/>
    <x v="3"/>
  </r>
  <r>
    <x v="247"/>
    <x v="247"/>
    <x v="3"/>
  </r>
  <r>
    <x v="248"/>
    <x v="248"/>
    <x v="4"/>
  </r>
  <r>
    <x v="249"/>
    <x v="249"/>
    <x v="4"/>
  </r>
  <r>
    <x v="250"/>
    <x v="250"/>
    <x v="0"/>
  </r>
  <r>
    <x v="251"/>
    <x v="251"/>
    <x v="4"/>
  </r>
  <r>
    <x v="252"/>
    <x v="252"/>
    <x v="1"/>
  </r>
  <r>
    <x v="253"/>
    <x v="253"/>
    <x v="2"/>
  </r>
  <r>
    <x v="254"/>
    <x v="254"/>
    <x v="2"/>
  </r>
  <r>
    <x v="255"/>
    <x v="255"/>
    <x v="3"/>
  </r>
  <r>
    <x v="256"/>
    <x v="256"/>
    <x v="4"/>
  </r>
  <r>
    <x v="257"/>
    <x v="257"/>
    <x v="1"/>
  </r>
  <r>
    <x v="258"/>
    <x v="258"/>
    <x v="0"/>
  </r>
  <r>
    <x v="259"/>
    <x v="259"/>
    <x v="4"/>
  </r>
  <r>
    <x v="260"/>
    <x v="260"/>
    <x v="0"/>
  </r>
  <r>
    <x v="261"/>
    <x v="261"/>
    <x v="3"/>
  </r>
  <r>
    <x v="262"/>
    <x v="262"/>
    <x v="2"/>
  </r>
  <r>
    <x v="263"/>
    <x v="263"/>
    <x v="0"/>
  </r>
  <r>
    <x v="264"/>
    <x v="264"/>
    <x v="0"/>
  </r>
  <r>
    <x v="265"/>
    <x v="265"/>
    <x v="4"/>
  </r>
  <r>
    <x v="266"/>
    <x v="266"/>
    <x v="3"/>
  </r>
  <r>
    <x v="267"/>
    <x v="267"/>
    <x v="3"/>
  </r>
  <r>
    <x v="268"/>
    <x v="268"/>
    <x v="3"/>
  </r>
  <r>
    <x v="269"/>
    <x v="269"/>
    <x v="2"/>
  </r>
  <r>
    <x v="270"/>
    <x v="270"/>
    <x v="1"/>
  </r>
  <r>
    <x v="271"/>
    <x v="271"/>
    <x v="2"/>
  </r>
  <r>
    <x v="272"/>
    <x v="272"/>
    <x v="1"/>
  </r>
  <r>
    <x v="273"/>
    <x v="273"/>
    <x v="3"/>
  </r>
  <r>
    <x v="274"/>
    <x v="274"/>
    <x v="3"/>
  </r>
  <r>
    <x v="275"/>
    <x v="275"/>
    <x v="4"/>
  </r>
  <r>
    <x v="276"/>
    <x v="276"/>
    <x v="0"/>
  </r>
  <r>
    <x v="277"/>
    <x v="277"/>
    <x v="4"/>
  </r>
  <r>
    <x v="278"/>
    <x v="278"/>
    <x v="1"/>
  </r>
  <r>
    <x v="279"/>
    <x v="279"/>
    <x v="2"/>
  </r>
  <r>
    <x v="280"/>
    <x v="280"/>
    <x v="2"/>
  </r>
  <r>
    <x v="281"/>
    <x v="281"/>
    <x v="3"/>
  </r>
  <r>
    <x v="282"/>
    <x v="282"/>
    <x v="1"/>
  </r>
  <r>
    <x v="283"/>
    <x v="283"/>
    <x v="0"/>
  </r>
  <r>
    <x v="284"/>
    <x v="284"/>
    <x v="4"/>
  </r>
  <r>
    <x v="285"/>
    <x v="285"/>
    <x v="0"/>
  </r>
  <r>
    <x v="286"/>
    <x v="286"/>
    <x v="3"/>
  </r>
  <r>
    <x v="287"/>
    <x v="287"/>
    <x v="2"/>
  </r>
  <r>
    <x v="288"/>
    <x v="288"/>
    <x v="0"/>
  </r>
  <r>
    <x v="289"/>
    <x v="289"/>
    <x v="0"/>
  </r>
  <r>
    <x v="290"/>
    <x v="290"/>
    <x v="4"/>
  </r>
  <r>
    <x v="291"/>
    <x v="291"/>
    <x v="3"/>
  </r>
  <r>
    <x v="292"/>
    <x v="292"/>
    <x v="3"/>
  </r>
  <r>
    <x v="293"/>
    <x v="293"/>
    <x v="3"/>
  </r>
  <r>
    <x v="294"/>
    <x v="294"/>
    <x v="2"/>
  </r>
  <r>
    <x v="295"/>
    <x v="295"/>
    <x v="4"/>
  </r>
  <r>
    <x v="296"/>
    <x v="296"/>
    <x v="4"/>
  </r>
  <r>
    <x v="297"/>
    <x v="297"/>
    <x v="0"/>
  </r>
  <r>
    <x v="298"/>
    <x v="298"/>
    <x v="0"/>
  </r>
  <r>
    <x v="299"/>
    <x v="299"/>
    <x v="0"/>
  </r>
  <r>
    <x v="300"/>
    <x v="300"/>
    <x v="1"/>
  </r>
  <r>
    <x v="301"/>
    <x v="301"/>
    <x v="2"/>
  </r>
  <r>
    <x v="302"/>
    <x v="302"/>
    <x v="1"/>
  </r>
  <r>
    <x v="303"/>
    <x v="303"/>
    <x v="3"/>
  </r>
  <r>
    <x v="304"/>
    <x v="304"/>
    <x v="3"/>
  </r>
  <r>
    <x v="305"/>
    <x v="305"/>
    <x v="4"/>
  </r>
  <r>
    <x v="306"/>
    <x v="306"/>
    <x v="4"/>
  </r>
  <r>
    <x v="307"/>
    <x v="307"/>
    <x v="0"/>
  </r>
  <r>
    <x v="308"/>
    <x v="308"/>
    <x v="4"/>
  </r>
  <r>
    <x v="309"/>
    <x v="309"/>
    <x v="1"/>
  </r>
  <r>
    <x v="310"/>
    <x v="310"/>
    <x v="2"/>
  </r>
  <r>
    <x v="311"/>
    <x v="311"/>
    <x v="2"/>
  </r>
  <r>
    <x v="312"/>
    <x v="312"/>
    <x v="3"/>
  </r>
  <r>
    <x v="313"/>
    <x v="313"/>
    <x v="4"/>
  </r>
  <r>
    <x v="314"/>
    <x v="314"/>
    <x v="1"/>
  </r>
  <r>
    <x v="315"/>
    <x v="315"/>
    <x v="4"/>
  </r>
  <r>
    <x v="316"/>
    <x v="316"/>
    <x v="3"/>
  </r>
  <r>
    <x v="317"/>
    <x v="317"/>
    <x v="2"/>
  </r>
  <r>
    <x v="318"/>
    <x v="318"/>
    <x v="0"/>
  </r>
  <r>
    <x v="319"/>
    <x v="319"/>
    <x v="4"/>
  </r>
  <r>
    <x v="320"/>
    <x v="320"/>
    <x v="3"/>
  </r>
  <r>
    <x v="321"/>
    <x v="321"/>
    <x v="3"/>
  </r>
  <r>
    <x v="322"/>
    <x v="322"/>
    <x v="3"/>
  </r>
  <r>
    <x v="323"/>
    <x v="323"/>
    <x v="2"/>
  </r>
  <r>
    <x v="324"/>
    <x v="324"/>
    <x v="1"/>
  </r>
  <r>
    <x v="325"/>
    <x v="325"/>
    <x v="2"/>
  </r>
  <r>
    <x v="326"/>
    <x v="326"/>
    <x v="1"/>
  </r>
  <r>
    <x v="327"/>
    <x v="327"/>
    <x v="3"/>
  </r>
  <r>
    <x v="328"/>
    <x v="328"/>
    <x v="3"/>
  </r>
  <r>
    <x v="329"/>
    <x v="329"/>
    <x v="4"/>
  </r>
  <r>
    <x v="330"/>
    <x v="330"/>
    <x v="0"/>
  </r>
  <r>
    <x v="331"/>
    <x v="331"/>
    <x v="4"/>
  </r>
  <r>
    <x v="332"/>
    <x v="332"/>
    <x v="1"/>
  </r>
  <r>
    <x v="333"/>
    <x v="333"/>
    <x v="2"/>
  </r>
  <r>
    <x v="334"/>
    <x v="334"/>
    <x v="2"/>
  </r>
  <r>
    <x v="335"/>
    <x v="335"/>
    <x v="3"/>
  </r>
  <r>
    <x v="336"/>
    <x v="336"/>
    <x v="1"/>
  </r>
  <r>
    <x v="337"/>
    <x v="337"/>
    <x v="0"/>
  </r>
  <r>
    <x v="338"/>
    <x v="338"/>
    <x v="4"/>
  </r>
  <r>
    <x v="339"/>
    <x v="339"/>
    <x v="0"/>
  </r>
  <r>
    <x v="340"/>
    <x v="340"/>
    <x v="3"/>
  </r>
  <r>
    <x v="341"/>
    <x v="341"/>
    <x v="2"/>
  </r>
  <r>
    <x v="342"/>
    <x v="342"/>
    <x v="0"/>
  </r>
  <r>
    <x v="343"/>
    <x v="343"/>
    <x v="0"/>
  </r>
  <r>
    <x v="344"/>
    <x v="344"/>
    <x v="4"/>
  </r>
  <r>
    <x v="345"/>
    <x v="345"/>
    <x v="3"/>
  </r>
  <r>
    <x v="346"/>
    <x v="346"/>
    <x v="3"/>
  </r>
  <r>
    <x v="347"/>
    <x v="347"/>
    <x v="3"/>
  </r>
  <r>
    <x v="348"/>
    <x v="348"/>
    <x v="2"/>
  </r>
  <r>
    <x v="349"/>
    <x v="349"/>
    <x v="4"/>
  </r>
  <r>
    <x v="350"/>
    <x v="350"/>
    <x v="4"/>
  </r>
  <r>
    <x v="351"/>
    <x v="351"/>
    <x v="0"/>
  </r>
  <r>
    <x v="352"/>
    <x v="352"/>
    <x v="0"/>
  </r>
  <r>
    <x v="353"/>
    <x v="353"/>
    <x v="0"/>
  </r>
  <r>
    <x v="354"/>
    <x v="354"/>
    <x v="1"/>
  </r>
  <r>
    <x v="355"/>
    <x v="355"/>
    <x v="2"/>
  </r>
  <r>
    <x v="356"/>
    <x v="356"/>
    <x v="1"/>
  </r>
  <r>
    <x v="357"/>
    <x v="357"/>
    <x v="3"/>
  </r>
  <r>
    <x v="358"/>
    <x v="358"/>
    <x v="3"/>
  </r>
  <r>
    <x v="359"/>
    <x v="359"/>
    <x v="4"/>
  </r>
  <r>
    <x v="360"/>
    <x v="360"/>
    <x v="0"/>
  </r>
  <r>
    <x v="361"/>
    <x v="361"/>
    <x v="4"/>
  </r>
  <r>
    <x v="362"/>
    <x v="362"/>
    <x v="1"/>
  </r>
  <r>
    <x v="363"/>
    <x v="363"/>
    <x v="2"/>
  </r>
  <r>
    <x v="364"/>
    <x v="364"/>
    <x v="2"/>
  </r>
  <r>
    <x v="365"/>
    <x v="365"/>
    <x v="3"/>
  </r>
  <r>
    <x v="366"/>
    <x v="366"/>
    <x v="1"/>
  </r>
  <r>
    <x v="367"/>
    <x v="367"/>
    <x v="4"/>
  </r>
  <r>
    <x v="368"/>
    <x v="368"/>
    <x v="3"/>
  </r>
  <r>
    <x v="369"/>
    <x v="369"/>
    <x v="2"/>
  </r>
  <r>
    <x v="370"/>
    <x v="370"/>
    <x v="0"/>
  </r>
  <r>
    <x v="371"/>
    <x v="371"/>
    <x v="4"/>
  </r>
  <r>
    <x v="372"/>
    <x v="372"/>
    <x v="3"/>
  </r>
  <r>
    <x v="373"/>
    <x v="373"/>
    <x v="3"/>
  </r>
  <r>
    <x v="374"/>
    <x v="374"/>
    <x v="3"/>
  </r>
  <r>
    <x v="375"/>
    <x v="375"/>
    <x v="2"/>
  </r>
  <r>
    <x v="376"/>
    <x v="376"/>
    <x v="0"/>
  </r>
  <r>
    <x v="377"/>
    <x v="377"/>
    <x v="5"/>
  </r>
  <r>
    <x v="378"/>
    <x v="378"/>
    <x v="0"/>
  </r>
  <r>
    <x v="379"/>
    <x v="379"/>
    <x v="0"/>
  </r>
  <r>
    <x v="380"/>
    <x v="380"/>
    <x v="0"/>
  </r>
  <r>
    <x v="381"/>
    <x v="381"/>
    <x v="0"/>
  </r>
  <r>
    <x v="382"/>
    <x v="382"/>
    <x v="0"/>
  </r>
  <r>
    <x v="383"/>
    <x v="383"/>
    <x v="2"/>
  </r>
  <r>
    <x v="384"/>
    <x v="384"/>
    <x v="0"/>
  </r>
  <r>
    <x v="385"/>
    <x v="385"/>
    <x v="1"/>
  </r>
  <r>
    <x v="386"/>
    <x v="386"/>
    <x v="0"/>
  </r>
  <r>
    <x v="387"/>
    <x v="387"/>
    <x v="0"/>
  </r>
  <r>
    <x v="388"/>
    <x v="388"/>
    <x v="2"/>
  </r>
  <r>
    <x v="389"/>
    <x v="389"/>
    <x v="1"/>
  </r>
  <r>
    <x v="390"/>
    <x v="390"/>
    <x v="1"/>
  </r>
  <r>
    <x v="391"/>
    <x v="391"/>
    <x v="5"/>
  </r>
  <r>
    <x v="392"/>
    <x v="392"/>
    <x v="0"/>
  </r>
  <r>
    <x v="393"/>
    <x v="393"/>
    <x v="0"/>
  </r>
  <r>
    <x v="394"/>
    <x v="394"/>
    <x v="0"/>
  </r>
  <r>
    <x v="395"/>
    <x v="395"/>
    <x v="2"/>
  </r>
  <r>
    <x v="396"/>
    <x v="396"/>
    <x v="5"/>
  </r>
  <r>
    <x v="397"/>
    <x v="397"/>
    <x v="0"/>
  </r>
  <r>
    <x v="398"/>
    <x v="398"/>
    <x v="1"/>
  </r>
  <r>
    <x v="399"/>
    <x v="399"/>
    <x v="2"/>
  </r>
  <r>
    <x v="400"/>
    <x v="400"/>
    <x v="1"/>
  </r>
  <r>
    <x v="401"/>
    <x v="401"/>
    <x v="1"/>
  </r>
  <r>
    <x v="402"/>
    <x v="402"/>
    <x v="0"/>
  </r>
  <r>
    <x v="403"/>
    <x v="403"/>
    <x v="2"/>
  </r>
  <r>
    <x v="404"/>
    <x v="404"/>
    <x v="5"/>
  </r>
  <r>
    <x v="405"/>
    <x v="405"/>
    <x v="1"/>
  </r>
  <r>
    <x v="406"/>
    <x v="406"/>
    <x v="0"/>
  </r>
  <r>
    <x v="407"/>
    <x v="407"/>
    <x v="2"/>
  </r>
  <r>
    <x v="408"/>
    <x v="408"/>
    <x v="1"/>
  </r>
  <r>
    <x v="409"/>
    <x v="409"/>
    <x v="1"/>
  </r>
  <r>
    <x v="410"/>
    <x v="410"/>
    <x v="0"/>
  </r>
  <r>
    <x v="411"/>
    <x v="411"/>
    <x v="0"/>
  </r>
  <r>
    <x v="412"/>
    <x v="412"/>
    <x v="2"/>
  </r>
  <r>
    <x v="413"/>
    <x v="413"/>
    <x v="5"/>
  </r>
  <r>
    <x v="414"/>
    <x v="414"/>
    <x v="1"/>
  </r>
  <r>
    <x v="415"/>
    <x v="415"/>
    <x v="2"/>
  </r>
  <r>
    <x v="416"/>
    <x v="416"/>
    <x v="1"/>
  </r>
  <r>
    <x v="417"/>
    <x v="417"/>
    <x v="1"/>
  </r>
  <r>
    <x v="418"/>
    <x v="418"/>
    <x v="0"/>
  </r>
  <r>
    <x v="419"/>
    <x v="419"/>
    <x v="0"/>
  </r>
  <r>
    <x v="420"/>
    <x v="420"/>
    <x v="2"/>
  </r>
  <r>
    <x v="421"/>
    <x v="421"/>
    <x v="5"/>
  </r>
  <r>
    <x v="422"/>
    <x v="422"/>
    <x v="1"/>
  </r>
  <r>
    <x v="423"/>
    <x v="423"/>
    <x v="2"/>
  </r>
  <r>
    <x v="424"/>
    <x v="424"/>
    <x v="1"/>
  </r>
  <r>
    <x v="425"/>
    <x v="425"/>
    <x v="1"/>
  </r>
  <r>
    <x v="426"/>
    <x v="426"/>
    <x v="0"/>
  </r>
  <r>
    <x v="427"/>
    <x v="427"/>
    <x v="2"/>
  </r>
  <r>
    <x v="428"/>
    <x v="428"/>
    <x v="5"/>
  </r>
  <r>
    <x v="429"/>
    <x v="429"/>
    <x v="1"/>
  </r>
  <r>
    <x v="430"/>
    <x v="430"/>
    <x v="0"/>
  </r>
  <r>
    <x v="431"/>
    <x v="431"/>
    <x v="2"/>
  </r>
  <r>
    <x v="432"/>
    <x v="432"/>
    <x v="1"/>
  </r>
  <r>
    <x v="433"/>
    <x v="433"/>
    <x v="1"/>
  </r>
  <r>
    <x v="434"/>
    <x v="434"/>
    <x v="0"/>
  </r>
  <r>
    <x v="435"/>
    <x v="435"/>
    <x v="2"/>
  </r>
  <r>
    <x v="436"/>
    <x v="436"/>
    <x v="5"/>
  </r>
  <r>
    <x v="437"/>
    <x v="437"/>
    <x v="1"/>
  </r>
  <r>
    <x v="438"/>
    <x v="438"/>
    <x v="0"/>
  </r>
  <r>
    <x v="439"/>
    <x v="439"/>
    <x v="2"/>
  </r>
  <r>
    <x v="440"/>
    <x v="440"/>
    <x v="1"/>
  </r>
  <r>
    <x v="441"/>
    <x v="441"/>
    <x v="1"/>
  </r>
  <r>
    <x v="442"/>
    <x v="442"/>
    <x v="0"/>
  </r>
  <r>
    <x v="443"/>
    <x v="443"/>
    <x v="2"/>
  </r>
  <r>
    <x v="444"/>
    <x v="444"/>
    <x v="5"/>
  </r>
  <r>
    <x v="445"/>
    <x v="445"/>
    <x v="1"/>
  </r>
  <r>
    <x v="446"/>
    <x v="446"/>
    <x v="0"/>
  </r>
  <r>
    <x v="447"/>
    <x v="447"/>
    <x v="2"/>
  </r>
  <r>
    <x v="448"/>
    <x v="448"/>
    <x v="1"/>
  </r>
  <r>
    <x v="449"/>
    <x v="449"/>
    <x v="1"/>
  </r>
  <r>
    <x v="450"/>
    <x v="450"/>
    <x v="0"/>
  </r>
  <r>
    <x v="451"/>
    <x v="451"/>
    <x v="0"/>
  </r>
  <r>
    <x v="452"/>
    <x v="452"/>
    <x v="2"/>
  </r>
  <r>
    <x v="453"/>
    <x v="453"/>
    <x v="5"/>
  </r>
  <r>
    <x v="454"/>
    <x v="454"/>
    <x v="1"/>
  </r>
  <r>
    <x v="455"/>
    <x v="455"/>
    <x v="2"/>
  </r>
  <r>
    <x v="456"/>
    <x v="456"/>
    <x v="1"/>
  </r>
  <r>
    <x v="457"/>
    <x v="457"/>
    <x v="1"/>
  </r>
  <r>
    <x v="458"/>
    <x v="458"/>
    <x v="0"/>
  </r>
  <r>
    <x v="459"/>
    <x v="459"/>
    <x v="2"/>
  </r>
  <r>
    <x v="460"/>
    <x v="460"/>
    <x v="5"/>
  </r>
  <r>
    <x v="461"/>
    <x v="461"/>
    <x v="1"/>
  </r>
  <r>
    <x v="462"/>
    <x v="462"/>
    <x v="0"/>
  </r>
  <r>
    <x v="463"/>
    <x v="463"/>
    <x v="2"/>
  </r>
  <r>
    <x v="464"/>
    <x v="464"/>
    <x v="1"/>
  </r>
  <r>
    <x v="465"/>
    <x v="465"/>
    <x v="1"/>
  </r>
  <r>
    <x v="466"/>
    <x v="466"/>
    <x v="0"/>
  </r>
  <r>
    <x v="467"/>
    <x v="467"/>
    <x v="2"/>
  </r>
  <r>
    <x v="468"/>
    <x v="468"/>
    <x v="5"/>
  </r>
  <r>
    <x v="469"/>
    <x v="469"/>
    <x v="1"/>
  </r>
  <r>
    <x v="470"/>
    <x v="470"/>
    <x v="0"/>
  </r>
  <r>
    <x v="471"/>
    <x v="471"/>
    <x v="2"/>
  </r>
  <r>
    <x v="472"/>
    <x v="472"/>
    <x v="1"/>
  </r>
  <r>
    <x v="473"/>
    <x v="473"/>
    <x v="1"/>
  </r>
  <r>
    <x v="474"/>
    <x v="474"/>
    <x v="0"/>
  </r>
  <r>
    <x v="475"/>
    <x v="475"/>
    <x v="0"/>
  </r>
  <r>
    <x v="476"/>
    <x v="476"/>
    <x v="2"/>
  </r>
  <r>
    <x v="477"/>
    <x v="477"/>
    <x v="5"/>
  </r>
  <r>
    <x v="478"/>
    <x v="478"/>
    <x v="1"/>
  </r>
  <r>
    <x v="479"/>
    <x v="479"/>
    <x v="2"/>
  </r>
  <r>
    <x v="480"/>
    <x v="480"/>
    <x v="1"/>
  </r>
  <r>
    <x v="481"/>
    <x v="481"/>
    <x v="1"/>
  </r>
  <r>
    <x v="482"/>
    <x v="482"/>
    <x v="0"/>
  </r>
  <r>
    <x v="483"/>
    <x v="483"/>
    <x v="2"/>
  </r>
  <r>
    <x v="484"/>
    <x v="484"/>
    <x v="5"/>
  </r>
  <r>
    <x v="485"/>
    <x v="485"/>
    <x v="1"/>
  </r>
  <r>
    <x v="486"/>
    <x v="486"/>
    <x v="0"/>
  </r>
  <r>
    <x v="487"/>
    <x v="487"/>
    <x v="2"/>
  </r>
  <r>
    <x v="488"/>
    <x v="488"/>
    <x v="1"/>
  </r>
  <r>
    <x v="489"/>
    <x v="489"/>
    <x v="1"/>
  </r>
  <r>
    <x v="490"/>
    <x v="490"/>
    <x v="0"/>
  </r>
  <r>
    <x v="491"/>
    <x v="491"/>
    <x v="0"/>
  </r>
  <r>
    <x v="492"/>
    <x v="492"/>
    <x v="2"/>
  </r>
  <r>
    <x v="493"/>
    <x v="493"/>
    <x v="5"/>
  </r>
  <r>
    <x v="494"/>
    <x v="494"/>
    <x v="1"/>
  </r>
  <r>
    <x v="495"/>
    <x v="495"/>
    <x v="2"/>
  </r>
  <r>
    <x v="496"/>
    <x v="496"/>
    <x v="1"/>
  </r>
  <r>
    <x v="497"/>
    <x v="497"/>
    <x v="1"/>
  </r>
  <r>
    <x v="498"/>
    <x v="498"/>
    <x v="0"/>
  </r>
  <r>
    <x v="499"/>
    <x v="499"/>
    <x v="5"/>
  </r>
  <r>
    <x v="500"/>
    <x v="500"/>
    <x v="0"/>
  </r>
  <r>
    <x v="501"/>
    <x v="501"/>
    <x v="5"/>
  </r>
  <r>
    <x v="502"/>
    <x v="502"/>
    <x v="0"/>
  </r>
  <r>
    <x v="503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_x000a_таблица1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3:D102" firstHeaderRow="0" firstDataRow="1" firstDataCol="2"/>
  <pivotFields count="9">
    <pivotField compact="0" numFmtId="178" showAll="0"/>
    <pivotField axis="axisRow" compact="0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dataField="1" compact="0" numFmtId="179" showAll="0"/>
    <pivotField axis="axisRow" compact="0" showAll="0">
      <items count="7">
        <item x="4"/>
        <item x="3"/>
        <item x="1"/>
        <item x="2"/>
        <item x="0"/>
        <item x="5"/>
        <item t="default"/>
      </items>
    </pivotField>
  </pivotFields>
  <rowFields count="2">
    <field x="8"/>
    <field x="1"/>
  </rowFields>
  <rowItems count="9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Товарооборот, руб" fld="3" baseField="0" baseItem="0"/>
    <dataField name="Сумма Товарооборот на склад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5" cacheId="1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E1:G18" firstHeaderRow="1" firstDataRow="1" firstDataCol="0"/>
  <pivotFields count="3">
    <pivotField compact="0" showAll="0">
      <items count="5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compact="0" showAll="0">
      <items count="5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compact="0" showAll="0">
      <items count="7">
        <item x="4"/>
        <item x="3"/>
        <item x="1"/>
        <item x="2"/>
        <item x="0"/>
        <item x="5"/>
        <item t="default"/>
      </items>
    </pivotField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_x000a_таблица7" cacheId="1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A1:C8" firstHeaderRow="0" firstDataRow="1" firstDataCol="1"/>
  <pivotFields count="3">
    <pivotField dataField="1" compact="0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dataField="1" compact="0" showAll="0">
      <items count="5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axis="axisRow" compact="0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Товарооборот на склад" fld="1" baseField="0" baseItem="0"/>
    <dataField name="Сумма Товарооборот, руб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zoomScale="93" zoomScaleNormal="93" workbookViewId="0">
      <selection activeCell="K5" sqref="K5"/>
    </sheetView>
  </sheetViews>
  <sheetFormatPr defaultColWidth="14.4259259259259" defaultRowHeight="15" customHeight="1"/>
  <cols>
    <col min="1" max="1" width="10.4259259259259" customWidth="1"/>
    <col min="2" max="2" width="21.712962962963" customWidth="1"/>
    <col min="3" max="3" width="22" customWidth="1"/>
    <col min="4" max="4" width="20.287037037037" customWidth="1"/>
    <col min="5" max="7" width="22" customWidth="1"/>
    <col min="8" max="8" width="23.4259259259259" customWidth="1"/>
    <col min="9" max="24" width="8.71296296296296" customWidth="1"/>
  </cols>
  <sheetData>
    <row r="1" ht="14.25" customHeight="1" spans="1:24">
      <c r="A1" s="28" t="s">
        <v>0</v>
      </c>
      <c r="B1" s="29" t="s">
        <v>1</v>
      </c>
      <c r="C1" s="29" t="s">
        <v>2</v>
      </c>
      <c r="D1" s="29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ht="14.25" customHeight="1" spans="1:9">
      <c r="A2" s="30">
        <v>43982</v>
      </c>
      <c r="B2" s="31" t="s">
        <v>9</v>
      </c>
      <c r="C2" s="31">
        <v>7944</v>
      </c>
      <c r="D2" s="31">
        <v>623971.5</v>
      </c>
      <c r="E2" s="32">
        <v>15</v>
      </c>
      <c r="F2" s="32">
        <v>441</v>
      </c>
      <c r="G2" s="32">
        <v>368</v>
      </c>
      <c r="H2" s="33">
        <f>D2/E2</f>
        <v>41598.1</v>
      </c>
      <c r="I2" s="37">
        <f>WEEKNUM(A2,2)</f>
        <v>22</v>
      </c>
    </row>
    <row r="3" ht="14.25" customHeight="1" spans="1:9">
      <c r="A3" s="34">
        <v>43981</v>
      </c>
      <c r="B3" s="35" t="s">
        <v>9</v>
      </c>
      <c r="C3" s="35">
        <v>10029</v>
      </c>
      <c r="D3" s="35">
        <v>787101</v>
      </c>
      <c r="E3" s="32">
        <v>15</v>
      </c>
      <c r="F3" s="32">
        <v>490</v>
      </c>
      <c r="G3" s="32">
        <v>409</v>
      </c>
      <c r="H3" s="33">
        <f t="shared" ref="H3:H66" si="0">D3/E3</f>
        <v>52473.4</v>
      </c>
      <c r="I3" s="37">
        <f t="shared" ref="I3:I66" si="1">WEEKNUM(A3,2)</f>
        <v>22</v>
      </c>
    </row>
    <row r="4" ht="14.25" customHeight="1" spans="1:9">
      <c r="A4" s="30">
        <v>43979</v>
      </c>
      <c r="B4" s="31" t="s">
        <v>9</v>
      </c>
      <c r="C4" s="31">
        <v>8536.5</v>
      </c>
      <c r="D4" s="31">
        <v>643944</v>
      </c>
      <c r="E4" s="32">
        <v>15</v>
      </c>
      <c r="F4" s="32">
        <v>464</v>
      </c>
      <c r="G4" s="32">
        <v>390</v>
      </c>
      <c r="H4" s="33">
        <f t="shared" si="0"/>
        <v>42929.6</v>
      </c>
      <c r="I4" s="37">
        <f t="shared" si="1"/>
        <v>22</v>
      </c>
    </row>
    <row r="5" ht="14.25" customHeight="1" spans="1:9">
      <c r="A5" s="34">
        <v>43967</v>
      </c>
      <c r="B5" s="35" t="s">
        <v>10</v>
      </c>
      <c r="C5" s="35">
        <v>38947.5</v>
      </c>
      <c r="D5" s="35">
        <v>3395892</v>
      </c>
      <c r="E5" s="32">
        <v>21</v>
      </c>
      <c r="F5" s="32">
        <v>2145</v>
      </c>
      <c r="G5" s="32">
        <v>1947</v>
      </c>
      <c r="H5" s="33">
        <f t="shared" si="0"/>
        <v>161709.142857143</v>
      </c>
      <c r="I5" s="37">
        <f t="shared" si="1"/>
        <v>20</v>
      </c>
    </row>
    <row r="6" ht="14.25" customHeight="1" spans="1:9">
      <c r="A6" s="30">
        <v>43970</v>
      </c>
      <c r="B6" s="31" t="s">
        <v>10</v>
      </c>
      <c r="C6" s="31">
        <v>31842</v>
      </c>
      <c r="D6" s="31">
        <v>2771116.5</v>
      </c>
      <c r="E6" s="32">
        <v>21</v>
      </c>
      <c r="F6" s="32">
        <v>1860</v>
      </c>
      <c r="G6" s="32">
        <v>1704</v>
      </c>
      <c r="H6" s="33">
        <f t="shared" si="0"/>
        <v>131957.928571429</v>
      </c>
      <c r="I6" s="37">
        <f t="shared" si="1"/>
        <v>21</v>
      </c>
    </row>
    <row r="7" ht="14.25" customHeight="1" spans="1:9">
      <c r="A7" s="34">
        <v>43968</v>
      </c>
      <c r="B7" s="35" t="s">
        <v>10</v>
      </c>
      <c r="C7" s="35">
        <v>32023.5</v>
      </c>
      <c r="D7" s="35">
        <v>2882458.5</v>
      </c>
      <c r="E7" s="32">
        <v>21</v>
      </c>
      <c r="F7" s="32">
        <v>1874</v>
      </c>
      <c r="G7" s="32">
        <v>1705</v>
      </c>
      <c r="H7" s="33">
        <f t="shared" si="0"/>
        <v>137259.928571429</v>
      </c>
      <c r="I7" s="37">
        <f t="shared" si="1"/>
        <v>20</v>
      </c>
    </row>
    <row r="8" ht="14.25" customHeight="1" spans="1:9">
      <c r="A8" s="30">
        <v>43960</v>
      </c>
      <c r="B8" s="31" t="s">
        <v>10</v>
      </c>
      <c r="C8" s="31">
        <v>31147.5</v>
      </c>
      <c r="D8" s="31">
        <v>2831019</v>
      </c>
      <c r="E8" s="32">
        <v>21</v>
      </c>
      <c r="F8" s="32">
        <v>1735</v>
      </c>
      <c r="G8" s="32">
        <v>1568</v>
      </c>
      <c r="H8" s="33">
        <f t="shared" si="0"/>
        <v>134810.428571429</v>
      </c>
      <c r="I8" s="37">
        <f t="shared" si="1"/>
        <v>19</v>
      </c>
    </row>
    <row r="9" ht="14.25" customHeight="1" spans="1:9">
      <c r="A9" s="34">
        <v>43955</v>
      </c>
      <c r="B9" s="35" t="s">
        <v>10</v>
      </c>
      <c r="C9" s="35">
        <v>25566</v>
      </c>
      <c r="D9" s="35">
        <v>2372310</v>
      </c>
      <c r="E9" s="32">
        <v>20</v>
      </c>
      <c r="F9" s="32">
        <v>1519</v>
      </c>
      <c r="G9" s="32">
        <v>1372</v>
      </c>
      <c r="H9" s="33">
        <f t="shared" si="0"/>
        <v>118615.5</v>
      </c>
      <c r="I9" s="37">
        <f t="shared" si="1"/>
        <v>19</v>
      </c>
    </row>
    <row r="10" ht="14.25" customHeight="1" spans="1:9">
      <c r="A10" s="30">
        <v>43950</v>
      </c>
      <c r="B10" s="31" t="s">
        <v>10</v>
      </c>
      <c r="C10" s="31">
        <v>29319</v>
      </c>
      <c r="D10" s="31">
        <v>2623480.5</v>
      </c>
      <c r="E10" s="32">
        <v>18</v>
      </c>
      <c r="F10" s="32">
        <v>1684</v>
      </c>
      <c r="G10" s="32">
        <v>1528</v>
      </c>
      <c r="H10" s="33">
        <f t="shared" si="0"/>
        <v>145748.916666667</v>
      </c>
      <c r="I10" s="37">
        <f t="shared" si="1"/>
        <v>18</v>
      </c>
    </row>
    <row r="11" ht="14.25" customHeight="1" spans="1:9">
      <c r="A11" s="34">
        <v>43953</v>
      </c>
      <c r="B11" s="35" t="s">
        <v>10</v>
      </c>
      <c r="C11" s="35">
        <v>29031</v>
      </c>
      <c r="D11" s="35">
        <v>2711247</v>
      </c>
      <c r="E11" s="32">
        <v>18</v>
      </c>
      <c r="F11" s="32">
        <v>1708</v>
      </c>
      <c r="G11" s="32">
        <v>1534</v>
      </c>
      <c r="H11" s="33">
        <f t="shared" si="0"/>
        <v>150624.833333333</v>
      </c>
      <c r="I11" s="37">
        <f t="shared" si="1"/>
        <v>18</v>
      </c>
    </row>
    <row r="12" ht="14.25" customHeight="1" spans="1:9">
      <c r="A12" s="30">
        <v>43977</v>
      </c>
      <c r="B12" s="31" t="s">
        <v>10</v>
      </c>
      <c r="C12" s="31">
        <v>33423</v>
      </c>
      <c r="D12" s="31">
        <v>2970330</v>
      </c>
      <c r="E12" s="32">
        <v>20</v>
      </c>
      <c r="F12" s="32">
        <v>2044</v>
      </c>
      <c r="G12" s="32">
        <v>1863</v>
      </c>
      <c r="H12" s="33">
        <f t="shared" si="0"/>
        <v>148516.5</v>
      </c>
      <c r="I12" s="37">
        <f t="shared" si="1"/>
        <v>22</v>
      </c>
    </row>
    <row r="13" ht="14.25" customHeight="1" spans="1:9">
      <c r="A13" s="34">
        <v>43952</v>
      </c>
      <c r="B13" s="35" t="s">
        <v>10</v>
      </c>
      <c r="C13" s="35">
        <v>32487</v>
      </c>
      <c r="D13" s="35">
        <v>3031254</v>
      </c>
      <c r="E13" s="32">
        <v>18</v>
      </c>
      <c r="F13" s="32">
        <v>1826</v>
      </c>
      <c r="G13" s="32">
        <v>1633</v>
      </c>
      <c r="H13" s="33">
        <f t="shared" si="0"/>
        <v>168403</v>
      </c>
      <c r="I13" s="37">
        <f t="shared" si="1"/>
        <v>18</v>
      </c>
    </row>
    <row r="14" ht="14.25" customHeight="1" spans="1:9">
      <c r="A14" s="30">
        <v>43963</v>
      </c>
      <c r="B14" s="31" t="s">
        <v>10</v>
      </c>
      <c r="C14" s="31">
        <v>28219.5</v>
      </c>
      <c r="D14" s="31">
        <v>2595778.5</v>
      </c>
      <c r="E14" s="32">
        <v>21</v>
      </c>
      <c r="F14" s="32">
        <v>1656</v>
      </c>
      <c r="G14" s="32">
        <v>1516</v>
      </c>
      <c r="H14" s="33">
        <f t="shared" si="0"/>
        <v>123608.5</v>
      </c>
      <c r="I14" s="37">
        <f t="shared" si="1"/>
        <v>20</v>
      </c>
    </row>
    <row r="15" ht="14.25" customHeight="1" spans="1:9">
      <c r="A15" s="34">
        <v>43972</v>
      </c>
      <c r="B15" s="35" t="s">
        <v>10</v>
      </c>
      <c r="C15" s="35">
        <v>31272</v>
      </c>
      <c r="D15" s="35">
        <v>2744382</v>
      </c>
      <c r="E15" s="32">
        <v>21</v>
      </c>
      <c r="F15" s="32">
        <v>1787</v>
      </c>
      <c r="G15" s="32">
        <v>1626</v>
      </c>
      <c r="H15" s="33">
        <f t="shared" si="0"/>
        <v>130684.857142857</v>
      </c>
      <c r="I15" s="37">
        <f t="shared" si="1"/>
        <v>21</v>
      </c>
    </row>
    <row r="16" ht="14.25" customHeight="1" spans="1:9">
      <c r="A16" s="30">
        <v>43971</v>
      </c>
      <c r="B16" s="31" t="s">
        <v>10</v>
      </c>
      <c r="C16" s="31">
        <v>34077</v>
      </c>
      <c r="D16" s="31">
        <v>2929330.5</v>
      </c>
      <c r="E16" s="32">
        <v>21</v>
      </c>
      <c r="F16" s="32">
        <v>1921</v>
      </c>
      <c r="G16" s="32">
        <v>1767</v>
      </c>
      <c r="H16" s="33">
        <f t="shared" si="0"/>
        <v>139491.928571429</v>
      </c>
      <c r="I16" s="37">
        <f t="shared" si="1"/>
        <v>21</v>
      </c>
    </row>
    <row r="17" ht="14.25" customHeight="1" spans="1:9">
      <c r="A17" s="34">
        <v>43956</v>
      </c>
      <c r="B17" s="35" t="s">
        <v>10</v>
      </c>
      <c r="C17" s="35">
        <v>31566</v>
      </c>
      <c r="D17" s="35">
        <v>2906763</v>
      </c>
      <c r="E17" s="32">
        <v>20</v>
      </c>
      <c r="F17" s="32">
        <v>1773</v>
      </c>
      <c r="G17" s="32">
        <v>1604</v>
      </c>
      <c r="H17" s="33">
        <f t="shared" si="0"/>
        <v>145338.15</v>
      </c>
      <c r="I17" s="37">
        <f t="shared" si="1"/>
        <v>19</v>
      </c>
    </row>
    <row r="18" ht="14.25" customHeight="1" spans="1:9">
      <c r="A18" s="30">
        <v>43949</v>
      </c>
      <c r="B18" s="31" t="s">
        <v>10</v>
      </c>
      <c r="C18" s="31">
        <v>26940</v>
      </c>
      <c r="D18" s="31">
        <v>2411587.5</v>
      </c>
      <c r="E18" s="32">
        <v>18</v>
      </c>
      <c r="F18" s="32">
        <v>1539</v>
      </c>
      <c r="G18" s="32">
        <v>1404</v>
      </c>
      <c r="H18" s="33">
        <f t="shared" si="0"/>
        <v>133977.083333333</v>
      </c>
      <c r="I18" s="37">
        <f t="shared" si="1"/>
        <v>18</v>
      </c>
    </row>
    <row r="19" ht="14.25" customHeight="1" spans="1:9">
      <c r="A19" s="34">
        <v>43964</v>
      </c>
      <c r="B19" s="35" t="s">
        <v>10</v>
      </c>
      <c r="C19" s="35">
        <v>29241</v>
      </c>
      <c r="D19" s="35">
        <v>2629782</v>
      </c>
      <c r="E19" s="32">
        <v>21</v>
      </c>
      <c r="F19" s="32">
        <v>1698</v>
      </c>
      <c r="G19" s="32">
        <v>1554</v>
      </c>
      <c r="H19" s="33">
        <f t="shared" si="0"/>
        <v>125227.714285714</v>
      </c>
      <c r="I19" s="37">
        <f t="shared" si="1"/>
        <v>20</v>
      </c>
    </row>
    <row r="20" ht="14.25" customHeight="1" spans="1:9">
      <c r="A20" s="30">
        <v>43954</v>
      </c>
      <c r="B20" s="31" t="s">
        <v>10</v>
      </c>
      <c r="C20" s="31">
        <v>26082</v>
      </c>
      <c r="D20" s="31">
        <v>2434914</v>
      </c>
      <c r="E20" s="32">
        <v>20</v>
      </c>
      <c r="F20" s="32">
        <v>1520</v>
      </c>
      <c r="G20" s="32">
        <v>1373</v>
      </c>
      <c r="H20" s="33">
        <f t="shared" si="0"/>
        <v>121745.7</v>
      </c>
      <c r="I20" s="37">
        <f t="shared" si="1"/>
        <v>18</v>
      </c>
    </row>
    <row r="21" ht="14.25" customHeight="1" spans="1:9">
      <c r="A21" s="34">
        <v>43957</v>
      </c>
      <c r="B21" s="35" t="s">
        <v>10</v>
      </c>
      <c r="C21" s="35">
        <v>32511</v>
      </c>
      <c r="D21" s="35">
        <v>2938623</v>
      </c>
      <c r="E21" s="32">
        <v>20</v>
      </c>
      <c r="F21" s="32">
        <v>1784</v>
      </c>
      <c r="G21" s="32">
        <v>1632</v>
      </c>
      <c r="H21" s="33">
        <f t="shared" si="0"/>
        <v>146931.15</v>
      </c>
      <c r="I21" s="37">
        <f t="shared" si="1"/>
        <v>19</v>
      </c>
    </row>
    <row r="22" ht="14.25" customHeight="1" spans="1:9">
      <c r="A22" s="30">
        <v>43974</v>
      </c>
      <c r="B22" s="31" t="s">
        <v>10</v>
      </c>
      <c r="C22" s="31">
        <v>42703.5</v>
      </c>
      <c r="D22" s="31">
        <v>3628726.5</v>
      </c>
      <c r="E22" s="32">
        <v>21</v>
      </c>
      <c r="F22" s="32">
        <v>2340</v>
      </c>
      <c r="G22" s="32">
        <v>2146</v>
      </c>
      <c r="H22" s="33">
        <f t="shared" si="0"/>
        <v>172796.5</v>
      </c>
      <c r="I22" s="37">
        <f t="shared" si="1"/>
        <v>21</v>
      </c>
    </row>
    <row r="23" ht="14.25" customHeight="1" spans="1:9">
      <c r="A23" s="34">
        <v>43976</v>
      </c>
      <c r="B23" s="35" t="s">
        <v>10</v>
      </c>
      <c r="C23" s="35">
        <v>35592</v>
      </c>
      <c r="D23" s="35">
        <v>3176580</v>
      </c>
      <c r="E23" s="32">
        <v>20</v>
      </c>
      <c r="F23" s="32">
        <v>2087</v>
      </c>
      <c r="G23" s="32">
        <v>1914</v>
      </c>
      <c r="H23" s="33">
        <f t="shared" si="0"/>
        <v>158829</v>
      </c>
      <c r="I23" s="37">
        <f t="shared" si="1"/>
        <v>22</v>
      </c>
    </row>
    <row r="24" ht="14.25" customHeight="1" spans="1:9">
      <c r="A24" s="30">
        <v>43951</v>
      </c>
      <c r="B24" s="31" t="s">
        <v>10</v>
      </c>
      <c r="C24" s="31">
        <v>30445.5</v>
      </c>
      <c r="D24" s="31">
        <v>2817196.5</v>
      </c>
      <c r="E24" s="32">
        <v>19</v>
      </c>
      <c r="F24" s="32">
        <v>1712</v>
      </c>
      <c r="G24" s="32">
        <v>1552</v>
      </c>
      <c r="H24" s="33">
        <f t="shared" si="0"/>
        <v>148273.5</v>
      </c>
      <c r="I24" s="37">
        <f t="shared" si="1"/>
        <v>18</v>
      </c>
    </row>
    <row r="25" ht="14.25" customHeight="1" spans="1:9">
      <c r="A25" s="34">
        <v>43961</v>
      </c>
      <c r="B25" s="35" t="s">
        <v>10</v>
      </c>
      <c r="C25" s="35">
        <v>36619.5</v>
      </c>
      <c r="D25" s="35">
        <v>3312967.5</v>
      </c>
      <c r="E25" s="32">
        <v>21</v>
      </c>
      <c r="F25" s="32">
        <v>2016</v>
      </c>
      <c r="G25" s="32">
        <v>1846</v>
      </c>
      <c r="H25" s="33">
        <f t="shared" si="0"/>
        <v>157760.357142857</v>
      </c>
      <c r="I25" s="37">
        <f t="shared" si="1"/>
        <v>19</v>
      </c>
    </row>
    <row r="26" ht="14.25" customHeight="1" spans="1:9">
      <c r="A26" s="30">
        <v>43959</v>
      </c>
      <c r="B26" s="31" t="s">
        <v>10</v>
      </c>
      <c r="C26" s="31">
        <v>29409</v>
      </c>
      <c r="D26" s="31">
        <v>2645160</v>
      </c>
      <c r="E26" s="32">
        <v>21</v>
      </c>
      <c r="F26" s="32">
        <v>1646</v>
      </c>
      <c r="G26" s="32">
        <v>1492</v>
      </c>
      <c r="H26" s="33">
        <f t="shared" si="0"/>
        <v>125960</v>
      </c>
      <c r="I26" s="37">
        <f t="shared" si="1"/>
        <v>19</v>
      </c>
    </row>
    <row r="27" ht="14.25" customHeight="1" spans="1:9">
      <c r="A27" s="34">
        <v>43958</v>
      </c>
      <c r="B27" s="35" t="s">
        <v>10</v>
      </c>
      <c r="C27" s="35">
        <v>27018</v>
      </c>
      <c r="D27" s="35">
        <v>2472213</v>
      </c>
      <c r="E27" s="32">
        <v>21</v>
      </c>
      <c r="F27" s="32">
        <v>1542</v>
      </c>
      <c r="G27" s="32">
        <v>1405</v>
      </c>
      <c r="H27" s="33">
        <f t="shared" si="0"/>
        <v>117724.428571429</v>
      </c>
      <c r="I27" s="37">
        <f t="shared" si="1"/>
        <v>19</v>
      </c>
    </row>
    <row r="28" ht="14.25" customHeight="1" spans="1:9">
      <c r="A28" s="30">
        <v>43975</v>
      </c>
      <c r="B28" s="31" t="s">
        <v>10</v>
      </c>
      <c r="C28" s="31">
        <v>34303.5</v>
      </c>
      <c r="D28" s="31">
        <v>2924746.5</v>
      </c>
      <c r="E28" s="32">
        <v>20</v>
      </c>
      <c r="F28" s="32">
        <v>1999</v>
      </c>
      <c r="G28" s="32">
        <v>1829</v>
      </c>
      <c r="H28" s="33">
        <f t="shared" si="0"/>
        <v>146237.325</v>
      </c>
      <c r="I28" s="37">
        <f t="shared" si="1"/>
        <v>21</v>
      </c>
    </row>
    <row r="29" ht="14.25" customHeight="1" spans="1:9">
      <c r="A29" s="34">
        <v>43982</v>
      </c>
      <c r="B29" s="35" t="s">
        <v>10</v>
      </c>
      <c r="C29" s="35">
        <v>36999</v>
      </c>
      <c r="D29" s="35">
        <v>3473895</v>
      </c>
      <c r="E29" s="32">
        <v>21</v>
      </c>
      <c r="F29" s="32">
        <v>2271</v>
      </c>
      <c r="G29" s="32">
        <v>2085</v>
      </c>
      <c r="H29" s="33">
        <f t="shared" si="0"/>
        <v>165423.571428571</v>
      </c>
      <c r="I29" s="37">
        <f t="shared" si="1"/>
        <v>22</v>
      </c>
    </row>
    <row r="30" ht="14.25" customHeight="1" spans="1:9">
      <c r="A30" s="30">
        <v>43981</v>
      </c>
      <c r="B30" s="31" t="s">
        <v>10</v>
      </c>
      <c r="C30" s="31">
        <v>44001</v>
      </c>
      <c r="D30" s="31">
        <v>3921784.5</v>
      </c>
      <c r="E30" s="32">
        <v>20</v>
      </c>
      <c r="F30" s="32">
        <v>2597</v>
      </c>
      <c r="G30" s="32">
        <v>2376</v>
      </c>
      <c r="H30" s="33">
        <f t="shared" si="0"/>
        <v>196089.225</v>
      </c>
      <c r="I30" s="37">
        <f t="shared" si="1"/>
        <v>22</v>
      </c>
    </row>
    <row r="31" ht="14.25" customHeight="1" spans="1:9">
      <c r="A31" s="34">
        <v>43979</v>
      </c>
      <c r="B31" s="35" t="s">
        <v>10</v>
      </c>
      <c r="C31" s="35">
        <v>30982.5</v>
      </c>
      <c r="D31" s="35">
        <v>2827773</v>
      </c>
      <c r="E31" s="32">
        <v>20</v>
      </c>
      <c r="F31" s="32">
        <v>1886</v>
      </c>
      <c r="G31" s="32">
        <v>1736</v>
      </c>
      <c r="H31" s="33">
        <f t="shared" si="0"/>
        <v>141388.65</v>
      </c>
      <c r="I31" s="37">
        <f t="shared" si="1"/>
        <v>22</v>
      </c>
    </row>
    <row r="32" ht="14.25" customHeight="1" spans="1:9">
      <c r="A32" s="30">
        <v>43967</v>
      </c>
      <c r="B32" s="31" t="s">
        <v>11</v>
      </c>
      <c r="C32" s="31">
        <v>88063.5</v>
      </c>
      <c r="D32" s="31">
        <v>7583758.5</v>
      </c>
      <c r="E32" s="32">
        <v>31</v>
      </c>
      <c r="F32" s="32">
        <v>5593</v>
      </c>
      <c r="G32" s="32">
        <v>5177</v>
      </c>
      <c r="H32" s="33">
        <f t="shared" si="0"/>
        <v>244637.370967742</v>
      </c>
      <c r="I32" s="37">
        <f t="shared" si="1"/>
        <v>20</v>
      </c>
    </row>
    <row r="33" ht="14.25" customHeight="1" spans="1:9">
      <c r="A33" s="34">
        <v>43970</v>
      </c>
      <c r="B33" s="35" t="s">
        <v>11</v>
      </c>
      <c r="C33" s="35">
        <v>84024</v>
      </c>
      <c r="D33" s="35">
        <v>6815511</v>
      </c>
      <c r="E33" s="32">
        <v>31</v>
      </c>
      <c r="F33" s="32">
        <v>5389</v>
      </c>
      <c r="G33" s="32">
        <v>5024</v>
      </c>
      <c r="H33" s="33">
        <f t="shared" si="0"/>
        <v>219855.193548387</v>
      </c>
      <c r="I33" s="37">
        <f t="shared" si="1"/>
        <v>21</v>
      </c>
    </row>
    <row r="34" ht="14.25" customHeight="1" spans="1:9">
      <c r="A34" s="30">
        <v>43968</v>
      </c>
      <c r="B34" s="31" t="s">
        <v>11</v>
      </c>
      <c r="C34" s="31">
        <v>78057</v>
      </c>
      <c r="D34" s="31">
        <v>6774946.5</v>
      </c>
      <c r="E34" s="32">
        <v>31</v>
      </c>
      <c r="F34" s="32">
        <v>5206</v>
      </c>
      <c r="G34" s="32">
        <v>4843</v>
      </c>
      <c r="H34" s="33">
        <f t="shared" si="0"/>
        <v>218546.661290323</v>
      </c>
      <c r="I34" s="37">
        <f t="shared" si="1"/>
        <v>20</v>
      </c>
    </row>
    <row r="35" ht="14.25" customHeight="1" spans="1:9">
      <c r="A35" s="34">
        <v>43960</v>
      </c>
      <c r="B35" s="35" t="s">
        <v>11</v>
      </c>
      <c r="C35" s="35">
        <v>69720</v>
      </c>
      <c r="D35" s="35">
        <v>6264933</v>
      </c>
      <c r="E35" s="32">
        <v>31</v>
      </c>
      <c r="F35" s="32">
        <v>4556</v>
      </c>
      <c r="G35" s="32">
        <v>4220</v>
      </c>
      <c r="H35" s="33">
        <f t="shared" si="0"/>
        <v>202094.612903226</v>
      </c>
      <c r="I35" s="37">
        <f t="shared" si="1"/>
        <v>19</v>
      </c>
    </row>
    <row r="36" ht="14.25" customHeight="1" spans="1:9">
      <c r="A36" s="30">
        <v>43955</v>
      </c>
      <c r="B36" s="31" t="s">
        <v>11</v>
      </c>
      <c r="C36" s="31">
        <v>72928.5</v>
      </c>
      <c r="D36" s="31">
        <v>6642249</v>
      </c>
      <c r="E36" s="32">
        <v>31</v>
      </c>
      <c r="F36" s="32">
        <v>4968</v>
      </c>
      <c r="G36" s="32">
        <v>4596</v>
      </c>
      <c r="H36" s="33">
        <f t="shared" si="0"/>
        <v>214266.096774194</v>
      </c>
      <c r="I36" s="37">
        <f t="shared" si="1"/>
        <v>19</v>
      </c>
    </row>
    <row r="37" ht="14.25" customHeight="1" spans="1:9">
      <c r="A37" s="34">
        <v>43950</v>
      </c>
      <c r="B37" s="35" t="s">
        <v>11</v>
      </c>
      <c r="C37" s="35">
        <v>79527</v>
      </c>
      <c r="D37" s="35">
        <v>7180498.5</v>
      </c>
      <c r="E37" s="32">
        <v>31</v>
      </c>
      <c r="F37" s="32">
        <v>5378</v>
      </c>
      <c r="G37" s="32">
        <v>4985</v>
      </c>
      <c r="H37" s="33">
        <f t="shared" si="0"/>
        <v>231628.983870968</v>
      </c>
      <c r="I37" s="37">
        <f t="shared" si="1"/>
        <v>18</v>
      </c>
    </row>
    <row r="38" ht="14.25" customHeight="1" spans="1:9">
      <c r="A38" s="30">
        <v>43953</v>
      </c>
      <c r="B38" s="31" t="s">
        <v>11</v>
      </c>
      <c r="C38" s="31">
        <v>60463.5</v>
      </c>
      <c r="D38" s="31">
        <v>5554192.5</v>
      </c>
      <c r="E38" s="32">
        <v>31</v>
      </c>
      <c r="F38" s="32">
        <v>4157</v>
      </c>
      <c r="G38" s="32">
        <v>3823</v>
      </c>
      <c r="H38" s="33">
        <f t="shared" si="0"/>
        <v>179167.5</v>
      </c>
      <c r="I38" s="37">
        <f t="shared" si="1"/>
        <v>18</v>
      </c>
    </row>
    <row r="39" ht="14.25" customHeight="1" spans="1:9">
      <c r="A39" s="34">
        <v>43977</v>
      </c>
      <c r="B39" s="35" t="s">
        <v>11</v>
      </c>
      <c r="C39" s="35">
        <v>79975.5</v>
      </c>
      <c r="D39" s="35">
        <v>6676459.5</v>
      </c>
      <c r="E39" s="32">
        <v>31</v>
      </c>
      <c r="F39" s="32">
        <v>5493</v>
      </c>
      <c r="G39" s="32">
        <v>5119</v>
      </c>
      <c r="H39" s="33">
        <f t="shared" si="0"/>
        <v>215369.661290323</v>
      </c>
      <c r="I39" s="37">
        <f t="shared" si="1"/>
        <v>22</v>
      </c>
    </row>
    <row r="40" ht="14.25" customHeight="1" spans="1:9">
      <c r="A40" s="30">
        <v>43952</v>
      </c>
      <c r="B40" s="31" t="s">
        <v>11</v>
      </c>
      <c r="C40" s="31">
        <v>97534.5</v>
      </c>
      <c r="D40" s="31">
        <v>8893024.5</v>
      </c>
      <c r="E40" s="32">
        <v>31</v>
      </c>
      <c r="F40" s="32">
        <v>6118</v>
      </c>
      <c r="G40" s="32">
        <v>5564</v>
      </c>
      <c r="H40" s="33">
        <f t="shared" si="0"/>
        <v>286871.758064516</v>
      </c>
      <c r="I40" s="37">
        <f t="shared" si="1"/>
        <v>18</v>
      </c>
    </row>
    <row r="41" ht="14.25" customHeight="1" spans="1:9">
      <c r="A41" s="34">
        <v>43963</v>
      </c>
      <c r="B41" s="35" t="s">
        <v>11</v>
      </c>
      <c r="C41" s="35">
        <v>71520</v>
      </c>
      <c r="D41" s="35">
        <v>6398361</v>
      </c>
      <c r="E41" s="32">
        <v>31</v>
      </c>
      <c r="F41" s="32">
        <v>4800</v>
      </c>
      <c r="G41" s="32">
        <v>4470</v>
      </c>
      <c r="H41" s="33">
        <f t="shared" si="0"/>
        <v>206398.741935484</v>
      </c>
      <c r="I41" s="37">
        <f t="shared" si="1"/>
        <v>20</v>
      </c>
    </row>
    <row r="42" ht="14.25" customHeight="1" spans="1:9">
      <c r="A42" s="30">
        <v>43972</v>
      </c>
      <c r="B42" s="31" t="s">
        <v>11</v>
      </c>
      <c r="C42" s="31">
        <v>79485</v>
      </c>
      <c r="D42" s="31">
        <v>6633847.5</v>
      </c>
      <c r="E42" s="32">
        <v>31</v>
      </c>
      <c r="F42" s="32">
        <v>5207</v>
      </c>
      <c r="G42" s="32">
        <v>4868</v>
      </c>
      <c r="H42" s="33">
        <f t="shared" si="0"/>
        <v>213995.080645161</v>
      </c>
      <c r="I42" s="37">
        <f t="shared" si="1"/>
        <v>21</v>
      </c>
    </row>
    <row r="43" ht="14.25" customHeight="1" spans="1:9">
      <c r="A43" s="34">
        <v>43971</v>
      </c>
      <c r="B43" s="35" t="s">
        <v>11</v>
      </c>
      <c r="C43" s="35">
        <v>93313.5</v>
      </c>
      <c r="D43" s="35">
        <v>7247575.5</v>
      </c>
      <c r="E43" s="32">
        <v>31</v>
      </c>
      <c r="F43" s="32">
        <v>5698</v>
      </c>
      <c r="G43" s="32">
        <v>5258</v>
      </c>
      <c r="H43" s="33">
        <f t="shared" si="0"/>
        <v>233792.758064516</v>
      </c>
      <c r="I43" s="37">
        <f t="shared" si="1"/>
        <v>21</v>
      </c>
    </row>
    <row r="44" ht="14.25" customHeight="1" spans="1:9">
      <c r="A44" s="30">
        <v>43956</v>
      </c>
      <c r="B44" s="31" t="s">
        <v>11</v>
      </c>
      <c r="C44" s="31">
        <v>76585.5</v>
      </c>
      <c r="D44" s="31">
        <v>6921316.5</v>
      </c>
      <c r="E44" s="32">
        <v>31</v>
      </c>
      <c r="F44" s="32">
        <v>5188</v>
      </c>
      <c r="G44" s="32">
        <v>4800</v>
      </c>
      <c r="H44" s="33">
        <f t="shared" si="0"/>
        <v>223268.274193548</v>
      </c>
      <c r="I44" s="37">
        <f t="shared" si="1"/>
        <v>19</v>
      </c>
    </row>
    <row r="45" ht="14.25" customHeight="1" spans="1:9">
      <c r="A45" s="34">
        <v>43949</v>
      </c>
      <c r="B45" s="35" t="s">
        <v>11</v>
      </c>
      <c r="C45" s="35">
        <v>81826.5</v>
      </c>
      <c r="D45" s="35">
        <v>7163644.5</v>
      </c>
      <c r="E45" s="32">
        <v>31</v>
      </c>
      <c r="F45" s="32">
        <v>5465</v>
      </c>
      <c r="G45" s="32">
        <v>5096</v>
      </c>
      <c r="H45" s="33">
        <f t="shared" si="0"/>
        <v>231085.306451613</v>
      </c>
      <c r="I45" s="37">
        <f t="shared" si="1"/>
        <v>18</v>
      </c>
    </row>
    <row r="46" ht="14.25" customHeight="1" spans="1:9">
      <c r="A46" s="30">
        <v>43964</v>
      </c>
      <c r="B46" s="31" t="s">
        <v>11</v>
      </c>
      <c r="C46" s="31">
        <v>78846</v>
      </c>
      <c r="D46" s="31">
        <v>6993952.5</v>
      </c>
      <c r="E46" s="32">
        <v>31</v>
      </c>
      <c r="F46" s="32">
        <v>5251</v>
      </c>
      <c r="G46" s="32">
        <v>4853</v>
      </c>
      <c r="H46" s="33">
        <f t="shared" si="0"/>
        <v>225611.370967742</v>
      </c>
      <c r="I46" s="37">
        <f t="shared" si="1"/>
        <v>20</v>
      </c>
    </row>
    <row r="47" ht="14.25" customHeight="1" spans="1:9">
      <c r="A47" s="34">
        <v>43954</v>
      </c>
      <c r="B47" s="35" t="s">
        <v>11</v>
      </c>
      <c r="C47" s="35">
        <v>77263.5</v>
      </c>
      <c r="D47" s="35">
        <v>7013670</v>
      </c>
      <c r="E47" s="32">
        <v>31</v>
      </c>
      <c r="F47" s="32">
        <v>5155</v>
      </c>
      <c r="G47" s="32">
        <v>4762</v>
      </c>
      <c r="H47" s="33">
        <f t="shared" si="0"/>
        <v>226247.419354839</v>
      </c>
      <c r="I47" s="37">
        <f t="shared" si="1"/>
        <v>18</v>
      </c>
    </row>
    <row r="48" ht="14.25" customHeight="1" spans="1:9">
      <c r="A48" s="30">
        <v>43957</v>
      </c>
      <c r="B48" s="31" t="s">
        <v>11</v>
      </c>
      <c r="C48" s="31">
        <v>68994</v>
      </c>
      <c r="D48" s="31">
        <v>6168657</v>
      </c>
      <c r="E48" s="32">
        <v>31</v>
      </c>
      <c r="F48" s="32">
        <v>4709</v>
      </c>
      <c r="G48" s="32">
        <v>4348</v>
      </c>
      <c r="H48" s="33">
        <f t="shared" si="0"/>
        <v>198988.935483871</v>
      </c>
      <c r="I48" s="37">
        <f t="shared" si="1"/>
        <v>19</v>
      </c>
    </row>
    <row r="49" ht="14.25" customHeight="1" spans="1:9">
      <c r="A49" s="34">
        <v>43974</v>
      </c>
      <c r="B49" s="35" t="s">
        <v>11</v>
      </c>
      <c r="C49" s="35">
        <v>102889.5</v>
      </c>
      <c r="D49" s="35">
        <v>8089143</v>
      </c>
      <c r="E49" s="32">
        <v>31</v>
      </c>
      <c r="F49" s="32">
        <v>6276</v>
      </c>
      <c r="G49" s="32">
        <v>5801</v>
      </c>
      <c r="H49" s="33">
        <f t="shared" si="0"/>
        <v>260940.096774194</v>
      </c>
      <c r="I49" s="37">
        <f t="shared" si="1"/>
        <v>21</v>
      </c>
    </row>
    <row r="50" ht="14.25" customHeight="1" spans="1:9">
      <c r="A50" s="30">
        <v>43976</v>
      </c>
      <c r="B50" s="31" t="s">
        <v>11</v>
      </c>
      <c r="C50" s="31">
        <v>76999.5</v>
      </c>
      <c r="D50" s="31">
        <v>6645603</v>
      </c>
      <c r="E50" s="32">
        <v>31</v>
      </c>
      <c r="F50" s="32">
        <v>5210</v>
      </c>
      <c r="G50" s="32">
        <v>4841</v>
      </c>
      <c r="H50" s="33">
        <f t="shared" si="0"/>
        <v>214374.290322581</v>
      </c>
      <c r="I50" s="37">
        <f t="shared" si="1"/>
        <v>22</v>
      </c>
    </row>
    <row r="51" ht="14.25" customHeight="1" spans="1:9">
      <c r="A51" s="34">
        <v>43951</v>
      </c>
      <c r="B51" s="35" t="s">
        <v>11</v>
      </c>
      <c r="C51" s="35">
        <v>77565</v>
      </c>
      <c r="D51" s="35">
        <v>7023727.5</v>
      </c>
      <c r="E51" s="32">
        <v>31</v>
      </c>
      <c r="F51" s="32">
        <v>5120</v>
      </c>
      <c r="G51" s="32">
        <v>4737</v>
      </c>
      <c r="H51" s="33">
        <f t="shared" si="0"/>
        <v>226571.85483871</v>
      </c>
      <c r="I51" s="37">
        <f t="shared" si="1"/>
        <v>18</v>
      </c>
    </row>
    <row r="52" ht="14.25" customHeight="1" spans="1:9">
      <c r="A52" s="30">
        <v>43961</v>
      </c>
      <c r="B52" s="31" t="s">
        <v>11</v>
      </c>
      <c r="C52" s="31">
        <v>84132</v>
      </c>
      <c r="D52" s="31">
        <v>7483194</v>
      </c>
      <c r="E52" s="32">
        <v>31</v>
      </c>
      <c r="F52" s="32">
        <v>5495</v>
      </c>
      <c r="G52" s="32">
        <v>5093</v>
      </c>
      <c r="H52" s="33">
        <f t="shared" si="0"/>
        <v>241393.35483871</v>
      </c>
      <c r="I52" s="37">
        <f t="shared" si="1"/>
        <v>19</v>
      </c>
    </row>
    <row r="53" ht="14.25" customHeight="1" spans="1:9">
      <c r="A53" s="34">
        <v>43959</v>
      </c>
      <c r="B53" s="35" t="s">
        <v>11</v>
      </c>
      <c r="C53" s="35">
        <v>69544.5</v>
      </c>
      <c r="D53" s="35">
        <v>6293776.5</v>
      </c>
      <c r="E53" s="32">
        <v>31</v>
      </c>
      <c r="F53" s="32">
        <v>4635</v>
      </c>
      <c r="G53" s="32">
        <v>4266</v>
      </c>
      <c r="H53" s="33">
        <f t="shared" si="0"/>
        <v>203025.048387097</v>
      </c>
      <c r="I53" s="37">
        <f t="shared" si="1"/>
        <v>19</v>
      </c>
    </row>
    <row r="54" ht="14.25" customHeight="1" spans="1:9">
      <c r="A54" s="30">
        <v>43958</v>
      </c>
      <c r="B54" s="31" t="s">
        <v>11</v>
      </c>
      <c r="C54" s="31">
        <v>73204.5</v>
      </c>
      <c r="D54" s="31">
        <v>6591883.5</v>
      </c>
      <c r="E54" s="32">
        <v>31</v>
      </c>
      <c r="F54" s="32">
        <v>4903</v>
      </c>
      <c r="G54" s="32">
        <v>4527</v>
      </c>
      <c r="H54" s="33">
        <f t="shared" si="0"/>
        <v>212641.403225806</v>
      </c>
      <c r="I54" s="37">
        <f t="shared" si="1"/>
        <v>19</v>
      </c>
    </row>
    <row r="55" ht="14.25" customHeight="1" spans="1:9">
      <c r="A55" s="34">
        <v>43975</v>
      </c>
      <c r="B55" s="35" t="s">
        <v>11</v>
      </c>
      <c r="C55" s="35">
        <v>76663.5</v>
      </c>
      <c r="D55" s="35">
        <v>6451032</v>
      </c>
      <c r="E55" s="32">
        <v>31</v>
      </c>
      <c r="F55" s="32">
        <v>5035</v>
      </c>
      <c r="G55" s="32">
        <v>4683</v>
      </c>
      <c r="H55" s="33">
        <f t="shared" si="0"/>
        <v>208097.806451613</v>
      </c>
      <c r="I55" s="37">
        <f t="shared" si="1"/>
        <v>21</v>
      </c>
    </row>
    <row r="56" ht="14.25" customHeight="1" spans="1:9">
      <c r="A56" s="30">
        <v>43967</v>
      </c>
      <c r="B56" s="31" t="s">
        <v>12</v>
      </c>
      <c r="C56" s="31">
        <v>14265</v>
      </c>
      <c r="D56" s="31">
        <v>1130506.5</v>
      </c>
      <c r="E56" s="32">
        <v>10</v>
      </c>
      <c r="F56" s="32">
        <v>760</v>
      </c>
      <c r="G56" s="32">
        <v>672</v>
      </c>
      <c r="H56" s="33">
        <f t="shared" si="0"/>
        <v>113050.65</v>
      </c>
      <c r="I56" s="37">
        <f t="shared" si="1"/>
        <v>20</v>
      </c>
    </row>
    <row r="57" ht="14.25" customHeight="1" spans="1:9">
      <c r="A57" s="34">
        <v>43970</v>
      </c>
      <c r="B57" s="35" t="s">
        <v>12</v>
      </c>
      <c r="C57" s="35">
        <v>11526</v>
      </c>
      <c r="D57" s="35">
        <v>938764.5</v>
      </c>
      <c r="E57" s="32">
        <v>10</v>
      </c>
      <c r="F57" s="32">
        <v>649</v>
      </c>
      <c r="G57" s="32">
        <v>568</v>
      </c>
      <c r="H57" s="33">
        <f t="shared" si="0"/>
        <v>93876.45</v>
      </c>
      <c r="I57" s="37">
        <f t="shared" si="1"/>
        <v>21</v>
      </c>
    </row>
    <row r="58" ht="14.25" customHeight="1" spans="1:9">
      <c r="A58" s="30">
        <v>43968</v>
      </c>
      <c r="B58" s="31" t="s">
        <v>12</v>
      </c>
      <c r="C58" s="31">
        <v>10402.5</v>
      </c>
      <c r="D58" s="31">
        <v>843727.5</v>
      </c>
      <c r="E58" s="32">
        <v>10</v>
      </c>
      <c r="F58" s="32">
        <v>591</v>
      </c>
      <c r="G58" s="32">
        <v>513</v>
      </c>
      <c r="H58" s="33">
        <f t="shared" si="0"/>
        <v>84372.75</v>
      </c>
      <c r="I58" s="37">
        <f t="shared" si="1"/>
        <v>20</v>
      </c>
    </row>
    <row r="59" ht="14.25" customHeight="1" spans="1:9">
      <c r="A59" s="34">
        <v>43960</v>
      </c>
      <c r="B59" s="35" t="s">
        <v>12</v>
      </c>
      <c r="C59" s="35">
        <v>13216.5</v>
      </c>
      <c r="D59" s="35">
        <v>1046400</v>
      </c>
      <c r="E59" s="32">
        <v>10</v>
      </c>
      <c r="F59" s="32">
        <v>644</v>
      </c>
      <c r="G59" s="32">
        <v>559</v>
      </c>
      <c r="H59" s="33">
        <f t="shared" si="0"/>
        <v>104640</v>
      </c>
      <c r="I59" s="37">
        <f t="shared" si="1"/>
        <v>19</v>
      </c>
    </row>
    <row r="60" ht="14.25" customHeight="1" spans="1:9">
      <c r="A60" s="30">
        <v>43955</v>
      </c>
      <c r="B60" s="31" t="s">
        <v>12</v>
      </c>
      <c r="C60" s="31">
        <v>9130.5</v>
      </c>
      <c r="D60" s="31">
        <v>728890.5</v>
      </c>
      <c r="E60" s="32">
        <v>10</v>
      </c>
      <c r="F60" s="32">
        <v>462</v>
      </c>
      <c r="G60" s="32">
        <v>396</v>
      </c>
      <c r="H60" s="33">
        <f t="shared" si="0"/>
        <v>72889.05</v>
      </c>
      <c r="I60" s="37">
        <f t="shared" si="1"/>
        <v>19</v>
      </c>
    </row>
    <row r="61" ht="14.25" customHeight="1" spans="1:9">
      <c r="A61" s="34">
        <v>43950</v>
      </c>
      <c r="B61" s="35" t="s">
        <v>12</v>
      </c>
      <c r="C61" s="35">
        <v>10840.5</v>
      </c>
      <c r="D61" s="35">
        <v>797919</v>
      </c>
      <c r="E61" s="32">
        <v>10</v>
      </c>
      <c r="F61" s="32">
        <v>502</v>
      </c>
      <c r="G61" s="32">
        <v>433</v>
      </c>
      <c r="H61" s="33">
        <f t="shared" si="0"/>
        <v>79791.9</v>
      </c>
      <c r="I61" s="37">
        <f t="shared" si="1"/>
        <v>18</v>
      </c>
    </row>
    <row r="62" ht="14.25" customHeight="1" spans="1:9">
      <c r="A62" s="30">
        <v>43953</v>
      </c>
      <c r="B62" s="31" t="s">
        <v>12</v>
      </c>
      <c r="C62" s="31">
        <v>7866</v>
      </c>
      <c r="D62" s="31">
        <v>617881.5</v>
      </c>
      <c r="E62" s="32">
        <v>10</v>
      </c>
      <c r="F62" s="32">
        <v>416</v>
      </c>
      <c r="G62" s="32">
        <v>341</v>
      </c>
      <c r="H62" s="33">
        <f t="shared" si="0"/>
        <v>61788.15</v>
      </c>
      <c r="I62" s="37">
        <f t="shared" si="1"/>
        <v>18</v>
      </c>
    </row>
    <row r="63" ht="14.25" customHeight="1" spans="1:9">
      <c r="A63" s="34">
        <v>43977</v>
      </c>
      <c r="B63" s="35" t="s">
        <v>12</v>
      </c>
      <c r="C63" s="35">
        <v>11835</v>
      </c>
      <c r="D63" s="35">
        <v>983109</v>
      </c>
      <c r="E63" s="32">
        <v>10</v>
      </c>
      <c r="F63" s="32">
        <v>692</v>
      </c>
      <c r="G63" s="32">
        <v>601</v>
      </c>
      <c r="H63" s="33">
        <f t="shared" si="0"/>
        <v>98310.9</v>
      </c>
      <c r="I63" s="37">
        <f t="shared" si="1"/>
        <v>22</v>
      </c>
    </row>
    <row r="64" ht="14.25" customHeight="1" spans="1:9">
      <c r="A64" s="30">
        <v>43952</v>
      </c>
      <c r="B64" s="31" t="s">
        <v>12</v>
      </c>
      <c r="C64" s="31">
        <v>11619</v>
      </c>
      <c r="D64" s="31">
        <v>891139.5</v>
      </c>
      <c r="E64" s="32">
        <v>10</v>
      </c>
      <c r="F64" s="32">
        <v>554</v>
      </c>
      <c r="G64" s="32">
        <v>472</v>
      </c>
      <c r="H64" s="33">
        <f t="shared" si="0"/>
        <v>89113.95</v>
      </c>
      <c r="I64" s="37">
        <f t="shared" si="1"/>
        <v>18</v>
      </c>
    </row>
    <row r="65" ht="14.25" customHeight="1" spans="1:9">
      <c r="A65" s="34">
        <v>43963</v>
      </c>
      <c r="B65" s="35" t="s">
        <v>12</v>
      </c>
      <c r="C65" s="35">
        <v>9328.5</v>
      </c>
      <c r="D65" s="35">
        <v>732964.5</v>
      </c>
      <c r="E65" s="32">
        <v>10</v>
      </c>
      <c r="F65" s="32">
        <v>526</v>
      </c>
      <c r="G65" s="32">
        <v>448</v>
      </c>
      <c r="H65" s="33">
        <f t="shared" si="0"/>
        <v>73296.45</v>
      </c>
      <c r="I65" s="37">
        <f t="shared" si="1"/>
        <v>20</v>
      </c>
    </row>
    <row r="66" ht="14.25" customHeight="1" spans="1:9">
      <c r="A66" s="30">
        <v>43972</v>
      </c>
      <c r="B66" s="31" t="s">
        <v>12</v>
      </c>
      <c r="C66" s="31">
        <v>11250</v>
      </c>
      <c r="D66" s="31">
        <v>935523</v>
      </c>
      <c r="E66" s="32">
        <v>10</v>
      </c>
      <c r="F66" s="32">
        <v>677</v>
      </c>
      <c r="G66" s="32">
        <v>591</v>
      </c>
      <c r="H66" s="33">
        <f t="shared" si="0"/>
        <v>93552.3</v>
      </c>
      <c r="I66" s="37">
        <f t="shared" si="1"/>
        <v>21</v>
      </c>
    </row>
    <row r="67" ht="14.25" customHeight="1" spans="1:9">
      <c r="A67" s="34">
        <v>43971</v>
      </c>
      <c r="B67" s="35" t="s">
        <v>12</v>
      </c>
      <c r="C67" s="35">
        <v>13063.5</v>
      </c>
      <c r="D67" s="35">
        <v>1037247</v>
      </c>
      <c r="E67" s="32">
        <v>10</v>
      </c>
      <c r="F67" s="32">
        <v>745</v>
      </c>
      <c r="G67" s="32">
        <v>654</v>
      </c>
      <c r="H67" s="33">
        <f t="shared" ref="H67:H130" si="2">D67/E67</f>
        <v>103724.7</v>
      </c>
      <c r="I67" s="37">
        <f t="shared" ref="I67:I130" si="3">WEEKNUM(A67,2)</f>
        <v>21</v>
      </c>
    </row>
    <row r="68" ht="14.25" customHeight="1" spans="1:9">
      <c r="A68" s="30">
        <v>43956</v>
      </c>
      <c r="B68" s="31" t="s">
        <v>12</v>
      </c>
      <c r="C68" s="31">
        <v>10147.5</v>
      </c>
      <c r="D68" s="31">
        <v>793320</v>
      </c>
      <c r="E68" s="32">
        <v>10</v>
      </c>
      <c r="F68" s="32">
        <v>511</v>
      </c>
      <c r="G68" s="32">
        <v>437</v>
      </c>
      <c r="H68" s="33">
        <f t="shared" si="2"/>
        <v>79332</v>
      </c>
      <c r="I68" s="37">
        <f t="shared" si="3"/>
        <v>19</v>
      </c>
    </row>
    <row r="69" ht="14.25" customHeight="1" spans="1:9">
      <c r="A69" s="34">
        <v>43949</v>
      </c>
      <c r="B69" s="35" t="s">
        <v>12</v>
      </c>
      <c r="C69" s="35">
        <v>12331.5</v>
      </c>
      <c r="D69" s="35">
        <v>869983.5</v>
      </c>
      <c r="E69" s="32">
        <v>10</v>
      </c>
      <c r="F69" s="32">
        <v>580</v>
      </c>
      <c r="G69" s="32">
        <v>506</v>
      </c>
      <c r="H69" s="33">
        <f t="shared" si="2"/>
        <v>86998.35</v>
      </c>
      <c r="I69" s="37">
        <f t="shared" si="3"/>
        <v>18</v>
      </c>
    </row>
    <row r="70" ht="14.25" customHeight="1" spans="1:9">
      <c r="A70" s="30">
        <v>43964</v>
      </c>
      <c r="B70" s="31" t="s">
        <v>12</v>
      </c>
      <c r="C70" s="31">
        <v>11202</v>
      </c>
      <c r="D70" s="31">
        <v>865714.5</v>
      </c>
      <c r="E70" s="32">
        <v>10</v>
      </c>
      <c r="F70" s="32">
        <v>612</v>
      </c>
      <c r="G70" s="32">
        <v>530</v>
      </c>
      <c r="H70" s="33">
        <f t="shared" si="2"/>
        <v>86571.45</v>
      </c>
      <c r="I70" s="37">
        <f t="shared" si="3"/>
        <v>20</v>
      </c>
    </row>
    <row r="71" ht="14.25" customHeight="1" spans="1:9">
      <c r="A71" s="34">
        <v>43982</v>
      </c>
      <c r="B71" s="35" t="s">
        <v>11</v>
      </c>
      <c r="C71" s="35">
        <v>89149.5</v>
      </c>
      <c r="D71" s="35">
        <v>7512646.5</v>
      </c>
      <c r="E71" s="32">
        <v>31</v>
      </c>
      <c r="F71" s="32">
        <v>5760</v>
      </c>
      <c r="G71" s="32">
        <v>5367</v>
      </c>
      <c r="H71" s="33">
        <f t="shared" si="2"/>
        <v>242343.435483871</v>
      </c>
      <c r="I71" s="37">
        <f t="shared" si="3"/>
        <v>22</v>
      </c>
    </row>
    <row r="72" ht="14.25" customHeight="1" spans="1:9">
      <c r="A72" s="30">
        <v>43954</v>
      </c>
      <c r="B72" s="31" t="s">
        <v>12</v>
      </c>
      <c r="C72" s="31">
        <v>8185.5</v>
      </c>
      <c r="D72" s="31">
        <v>637881</v>
      </c>
      <c r="E72" s="32">
        <v>10</v>
      </c>
      <c r="F72" s="32">
        <v>402</v>
      </c>
      <c r="G72" s="32">
        <v>333</v>
      </c>
      <c r="H72" s="33">
        <f t="shared" si="2"/>
        <v>63788.1</v>
      </c>
      <c r="I72" s="37">
        <f t="shared" si="3"/>
        <v>18</v>
      </c>
    </row>
    <row r="73" ht="14.25" customHeight="1" spans="1:9">
      <c r="A73" s="34">
        <v>43981</v>
      </c>
      <c r="B73" s="35" t="s">
        <v>11</v>
      </c>
      <c r="C73" s="35">
        <v>108123</v>
      </c>
      <c r="D73" s="35">
        <v>9164707.5</v>
      </c>
      <c r="E73" s="32">
        <v>31</v>
      </c>
      <c r="F73" s="32">
        <v>6735</v>
      </c>
      <c r="G73" s="32">
        <v>6264</v>
      </c>
      <c r="H73" s="33">
        <f t="shared" si="2"/>
        <v>295635.725806452</v>
      </c>
      <c r="I73" s="37">
        <f t="shared" si="3"/>
        <v>22</v>
      </c>
    </row>
    <row r="74" ht="14.25" customHeight="1" spans="1:9">
      <c r="A74" s="30">
        <v>43957</v>
      </c>
      <c r="B74" s="31" t="s">
        <v>12</v>
      </c>
      <c r="C74" s="31">
        <v>9210</v>
      </c>
      <c r="D74" s="31">
        <v>696832.5</v>
      </c>
      <c r="E74" s="32">
        <v>10</v>
      </c>
      <c r="F74" s="32">
        <v>465</v>
      </c>
      <c r="G74" s="32">
        <v>390</v>
      </c>
      <c r="H74" s="33">
        <f t="shared" si="2"/>
        <v>69683.25</v>
      </c>
      <c r="I74" s="37">
        <f t="shared" si="3"/>
        <v>19</v>
      </c>
    </row>
    <row r="75" ht="14.25" customHeight="1" spans="1:9">
      <c r="A75" s="34">
        <v>43974</v>
      </c>
      <c r="B75" s="35" t="s">
        <v>12</v>
      </c>
      <c r="C75" s="35">
        <v>14773.5</v>
      </c>
      <c r="D75" s="35">
        <v>1241383.5</v>
      </c>
      <c r="E75" s="32">
        <v>10</v>
      </c>
      <c r="F75" s="32">
        <v>828</v>
      </c>
      <c r="G75" s="32">
        <v>734</v>
      </c>
      <c r="H75" s="33">
        <f t="shared" si="2"/>
        <v>124138.35</v>
      </c>
      <c r="I75" s="37">
        <f t="shared" si="3"/>
        <v>21</v>
      </c>
    </row>
    <row r="76" ht="14.25" customHeight="1" spans="1:9">
      <c r="A76" s="30">
        <v>43979</v>
      </c>
      <c r="B76" s="31" t="s">
        <v>11</v>
      </c>
      <c r="C76" s="31">
        <v>78141</v>
      </c>
      <c r="D76" s="31">
        <v>6641569.5</v>
      </c>
      <c r="E76" s="32">
        <v>31</v>
      </c>
      <c r="F76" s="32">
        <v>5355</v>
      </c>
      <c r="G76" s="32">
        <v>4969</v>
      </c>
      <c r="H76" s="33">
        <f t="shared" si="2"/>
        <v>214244.177419355</v>
      </c>
      <c r="I76" s="37">
        <f t="shared" si="3"/>
        <v>22</v>
      </c>
    </row>
    <row r="77" ht="14.25" customHeight="1" spans="1:9">
      <c r="A77" s="34">
        <v>43976</v>
      </c>
      <c r="B77" s="35" t="s">
        <v>12</v>
      </c>
      <c r="C77" s="35">
        <v>12280.5</v>
      </c>
      <c r="D77" s="35">
        <v>1030440</v>
      </c>
      <c r="E77" s="32">
        <v>10</v>
      </c>
      <c r="F77" s="32">
        <v>739</v>
      </c>
      <c r="G77" s="32">
        <v>642</v>
      </c>
      <c r="H77" s="33">
        <f t="shared" si="2"/>
        <v>103044</v>
      </c>
      <c r="I77" s="37">
        <f t="shared" si="3"/>
        <v>22</v>
      </c>
    </row>
    <row r="78" ht="14.25" customHeight="1" spans="1:9">
      <c r="A78" s="30">
        <v>43951</v>
      </c>
      <c r="B78" s="31" t="s">
        <v>12</v>
      </c>
      <c r="C78" s="31">
        <v>8934</v>
      </c>
      <c r="D78" s="31">
        <v>716196</v>
      </c>
      <c r="E78" s="32">
        <v>10</v>
      </c>
      <c r="F78" s="32">
        <v>448</v>
      </c>
      <c r="G78" s="32">
        <v>376</v>
      </c>
      <c r="H78" s="33">
        <f t="shared" si="2"/>
        <v>71619.6</v>
      </c>
      <c r="I78" s="37">
        <f t="shared" si="3"/>
        <v>18</v>
      </c>
    </row>
    <row r="79" ht="14.25" customHeight="1" spans="1:9">
      <c r="A79" s="34">
        <v>43961</v>
      </c>
      <c r="B79" s="35" t="s">
        <v>12</v>
      </c>
      <c r="C79" s="35">
        <v>12918</v>
      </c>
      <c r="D79" s="35">
        <v>1004788.5</v>
      </c>
      <c r="E79" s="32">
        <v>10</v>
      </c>
      <c r="F79" s="32">
        <v>642</v>
      </c>
      <c r="G79" s="32">
        <v>556</v>
      </c>
      <c r="H79" s="33">
        <f t="shared" si="2"/>
        <v>100478.85</v>
      </c>
      <c r="I79" s="37">
        <f t="shared" si="3"/>
        <v>19</v>
      </c>
    </row>
    <row r="80" ht="14.25" customHeight="1" spans="1:9">
      <c r="A80" s="30">
        <v>43959</v>
      </c>
      <c r="B80" s="31" t="s">
        <v>12</v>
      </c>
      <c r="C80" s="31">
        <v>12528</v>
      </c>
      <c r="D80" s="31">
        <v>959703</v>
      </c>
      <c r="E80" s="32">
        <v>10</v>
      </c>
      <c r="F80" s="32">
        <v>638</v>
      </c>
      <c r="G80" s="32">
        <v>547</v>
      </c>
      <c r="H80" s="33">
        <f t="shared" si="2"/>
        <v>95970.3</v>
      </c>
      <c r="I80" s="37">
        <f t="shared" si="3"/>
        <v>19</v>
      </c>
    </row>
    <row r="81" ht="14.25" customHeight="1" spans="1:9">
      <c r="A81" s="34">
        <v>43958</v>
      </c>
      <c r="B81" s="35" t="s">
        <v>12</v>
      </c>
      <c r="C81" s="35">
        <v>11029.5</v>
      </c>
      <c r="D81" s="35">
        <v>863754</v>
      </c>
      <c r="E81" s="32">
        <v>10</v>
      </c>
      <c r="F81" s="32">
        <v>563</v>
      </c>
      <c r="G81" s="32">
        <v>486</v>
      </c>
      <c r="H81" s="33">
        <f t="shared" si="2"/>
        <v>86375.4</v>
      </c>
      <c r="I81" s="37">
        <f t="shared" si="3"/>
        <v>19</v>
      </c>
    </row>
    <row r="82" ht="14.25" customHeight="1" spans="1:9">
      <c r="A82" s="30">
        <v>43975</v>
      </c>
      <c r="B82" s="31" t="s">
        <v>12</v>
      </c>
      <c r="C82" s="31">
        <v>9994.5</v>
      </c>
      <c r="D82" s="31">
        <v>828984</v>
      </c>
      <c r="E82" s="32">
        <v>10</v>
      </c>
      <c r="F82" s="32">
        <v>639</v>
      </c>
      <c r="G82" s="32">
        <v>557</v>
      </c>
      <c r="H82" s="33">
        <f t="shared" si="2"/>
        <v>82898.4</v>
      </c>
      <c r="I82" s="37">
        <f t="shared" si="3"/>
        <v>21</v>
      </c>
    </row>
    <row r="83" ht="14.25" customHeight="1" spans="1:9">
      <c r="A83" s="34">
        <v>43982</v>
      </c>
      <c r="B83" s="35" t="s">
        <v>12</v>
      </c>
      <c r="C83" s="35">
        <v>12724.5</v>
      </c>
      <c r="D83" s="35">
        <v>1045515</v>
      </c>
      <c r="E83" s="32">
        <v>10</v>
      </c>
      <c r="F83" s="32">
        <v>749</v>
      </c>
      <c r="G83" s="32">
        <v>655</v>
      </c>
      <c r="H83" s="33">
        <f t="shared" si="2"/>
        <v>104551.5</v>
      </c>
      <c r="I83" s="37">
        <f t="shared" si="3"/>
        <v>22</v>
      </c>
    </row>
    <row r="84" ht="14.25" customHeight="1" spans="1:9">
      <c r="A84" s="30">
        <v>43981</v>
      </c>
      <c r="B84" s="31" t="s">
        <v>12</v>
      </c>
      <c r="C84" s="31">
        <v>14728.5</v>
      </c>
      <c r="D84" s="31">
        <v>1260483</v>
      </c>
      <c r="E84" s="32">
        <v>10</v>
      </c>
      <c r="F84" s="32">
        <v>865</v>
      </c>
      <c r="G84" s="32">
        <v>763</v>
      </c>
      <c r="H84" s="33">
        <f t="shared" si="2"/>
        <v>126048.3</v>
      </c>
      <c r="I84" s="37">
        <f t="shared" si="3"/>
        <v>22</v>
      </c>
    </row>
    <row r="85" ht="14.25" customHeight="1" spans="1:9">
      <c r="A85" s="34">
        <v>43979</v>
      </c>
      <c r="B85" s="35" t="s">
        <v>12</v>
      </c>
      <c r="C85" s="35">
        <v>13038</v>
      </c>
      <c r="D85" s="35">
        <v>1114552.5</v>
      </c>
      <c r="E85" s="32">
        <v>10</v>
      </c>
      <c r="F85" s="32">
        <v>791</v>
      </c>
      <c r="G85" s="32">
        <v>697</v>
      </c>
      <c r="H85" s="33">
        <f t="shared" si="2"/>
        <v>111455.25</v>
      </c>
      <c r="I85" s="37">
        <f t="shared" si="3"/>
        <v>22</v>
      </c>
    </row>
    <row r="86" ht="14.25" customHeight="1" spans="1:9">
      <c r="A86" s="30">
        <v>43967</v>
      </c>
      <c r="B86" s="31" t="s">
        <v>13</v>
      </c>
      <c r="C86" s="31">
        <v>35482.5</v>
      </c>
      <c r="D86" s="31">
        <v>3222517.5</v>
      </c>
      <c r="E86" s="32">
        <v>19</v>
      </c>
      <c r="F86" s="32">
        <v>2080</v>
      </c>
      <c r="G86" s="32">
        <v>1844</v>
      </c>
      <c r="H86" s="33">
        <f t="shared" si="2"/>
        <v>169606.184210526</v>
      </c>
      <c r="I86" s="37">
        <f t="shared" si="3"/>
        <v>20</v>
      </c>
    </row>
    <row r="87" ht="14.25" customHeight="1" spans="1:9">
      <c r="A87" s="34">
        <v>43970</v>
      </c>
      <c r="B87" s="35" t="s">
        <v>13</v>
      </c>
      <c r="C87" s="35">
        <v>32434.5</v>
      </c>
      <c r="D87" s="35">
        <v>2865337.5</v>
      </c>
      <c r="E87" s="32">
        <v>19</v>
      </c>
      <c r="F87" s="32">
        <v>1999</v>
      </c>
      <c r="G87" s="32">
        <v>1799</v>
      </c>
      <c r="H87" s="33">
        <f t="shared" si="2"/>
        <v>150807.236842105</v>
      </c>
      <c r="I87" s="37">
        <f t="shared" si="3"/>
        <v>21</v>
      </c>
    </row>
    <row r="88" ht="14.25" customHeight="1" spans="1:9">
      <c r="A88" s="30">
        <v>43968</v>
      </c>
      <c r="B88" s="31" t="s">
        <v>13</v>
      </c>
      <c r="C88" s="31">
        <v>30486</v>
      </c>
      <c r="D88" s="31">
        <v>2694289.5</v>
      </c>
      <c r="E88" s="32">
        <v>19</v>
      </c>
      <c r="F88" s="32">
        <v>1871</v>
      </c>
      <c r="G88" s="32">
        <v>1660</v>
      </c>
      <c r="H88" s="33">
        <f t="shared" si="2"/>
        <v>141804.710526316</v>
      </c>
      <c r="I88" s="37">
        <f t="shared" si="3"/>
        <v>20</v>
      </c>
    </row>
    <row r="89" ht="14.25" customHeight="1" spans="1:9">
      <c r="A89" s="34">
        <v>43960</v>
      </c>
      <c r="B89" s="35" t="s">
        <v>13</v>
      </c>
      <c r="C89" s="35">
        <v>32079</v>
      </c>
      <c r="D89" s="35">
        <v>2902167</v>
      </c>
      <c r="E89" s="32">
        <v>19</v>
      </c>
      <c r="F89" s="32">
        <v>1851</v>
      </c>
      <c r="G89" s="32">
        <v>1635</v>
      </c>
      <c r="H89" s="33">
        <f t="shared" si="2"/>
        <v>152745.631578947</v>
      </c>
      <c r="I89" s="37">
        <f t="shared" si="3"/>
        <v>19</v>
      </c>
    </row>
    <row r="90" ht="14.25" customHeight="1" spans="1:9">
      <c r="A90" s="30">
        <v>43955</v>
      </c>
      <c r="B90" s="31" t="s">
        <v>13</v>
      </c>
      <c r="C90" s="31">
        <v>27072</v>
      </c>
      <c r="D90" s="31">
        <v>2450968.5</v>
      </c>
      <c r="E90" s="32">
        <v>19</v>
      </c>
      <c r="F90" s="32">
        <v>1582</v>
      </c>
      <c r="G90" s="32">
        <v>1403</v>
      </c>
      <c r="H90" s="33">
        <f t="shared" si="2"/>
        <v>128998.342105263</v>
      </c>
      <c r="I90" s="37">
        <f t="shared" si="3"/>
        <v>19</v>
      </c>
    </row>
    <row r="91" ht="14.25" customHeight="1" spans="1:9">
      <c r="A91" s="34">
        <v>43950</v>
      </c>
      <c r="B91" s="35" t="s">
        <v>13</v>
      </c>
      <c r="C91" s="35">
        <v>25917</v>
      </c>
      <c r="D91" s="35">
        <v>2397588</v>
      </c>
      <c r="E91" s="32">
        <v>18</v>
      </c>
      <c r="F91" s="32">
        <v>1534</v>
      </c>
      <c r="G91" s="32">
        <v>1369</v>
      </c>
      <c r="H91" s="33">
        <f t="shared" si="2"/>
        <v>133199.333333333</v>
      </c>
      <c r="I91" s="37">
        <f t="shared" si="3"/>
        <v>18</v>
      </c>
    </row>
    <row r="92" ht="14.25" customHeight="1" spans="1:9">
      <c r="A92" s="30">
        <v>43953</v>
      </c>
      <c r="B92" s="31" t="s">
        <v>13</v>
      </c>
      <c r="C92" s="31">
        <v>19461</v>
      </c>
      <c r="D92" s="31">
        <v>1799230.5</v>
      </c>
      <c r="E92" s="32">
        <v>19</v>
      </c>
      <c r="F92" s="32">
        <v>1217</v>
      </c>
      <c r="G92" s="32">
        <v>1048</v>
      </c>
      <c r="H92" s="33">
        <f t="shared" si="2"/>
        <v>94696.3421052632</v>
      </c>
      <c r="I92" s="37">
        <f t="shared" si="3"/>
        <v>18</v>
      </c>
    </row>
    <row r="93" ht="14.25" customHeight="1" spans="1:9">
      <c r="A93" s="34">
        <v>43977</v>
      </c>
      <c r="B93" s="35" t="s">
        <v>13</v>
      </c>
      <c r="C93" s="35">
        <v>31407</v>
      </c>
      <c r="D93" s="35">
        <v>2907411</v>
      </c>
      <c r="E93" s="32">
        <v>20</v>
      </c>
      <c r="F93" s="32">
        <v>2036</v>
      </c>
      <c r="G93" s="32">
        <v>1790</v>
      </c>
      <c r="H93" s="33">
        <f t="shared" si="2"/>
        <v>145370.55</v>
      </c>
      <c r="I93" s="37">
        <f t="shared" si="3"/>
        <v>22</v>
      </c>
    </row>
    <row r="94" ht="14.25" customHeight="1" spans="1:9">
      <c r="A94" s="30">
        <v>43952</v>
      </c>
      <c r="B94" s="31" t="s">
        <v>13</v>
      </c>
      <c r="C94" s="31">
        <v>25792.5</v>
      </c>
      <c r="D94" s="31">
        <v>2374356</v>
      </c>
      <c r="E94" s="32">
        <v>19</v>
      </c>
      <c r="F94" s="32">
        <v>1497</v>
      </c>
      <c r="G94" s="32">
        <v>1291</v>
      </c>
      <c r="H94" s="33">
        <f t="shared" si="2"/>
        <v>124966.105263158</v>
      </c>
      <c r="I94" s="37">
        <f t="shared" si="3"/>
        <v>18</v>
      </c>
    </row>
    <row r="95" ht="14.25" customHeight="1" spans="1:9">
      <c r="A95" s="34">
        <v>43963</v>
      </c>
      <c r="B95" s="35" t="s">
        <v>13</v>
      </c>
      <c r="C95" s="35">
        <v>26032.5</v>
      </c>
      <c r="D95" s="35">
        <v>2370432</v>
      </c>
      <c r="E95" s="32">
        <v>19</v>
      </c>
      <c r="F95" s="32">
        <v>1649</v>
      </c>
      <c r="G95" s="32">
        <v>1460</v>
      </c>
      <c r="H95" s="33">
        <f t="shared" si="2"/>
        <v>124759.578947368</v>
      </c>
      <c r="I95" s="37">
        <f t="shared" si="3"/>
        <v>20</v>
      </c>
    </row>
    <row r="96" ht="14.25" customHeight="1" spans="1:9">
      <c r="A96" s="30">
        <v>43972</v>
      </c>
      <c r="B96" s="31" t="s">
        <v>13</v>
      </c>
      <c r="C96" s="31">
        <v>31707</v>
      </c>
      <c r="D96" s="31">
        <v>2853181.5</v>
      </c>
      <c r="E96" s="32">
        <v>19</v>
      </c>
      <c r="F96" s="32">
        <v>1949</v>
      </c>
      <c r="G96" s="32">
        <v>1724</v>
      </c>
      <c r="H96" s="33">
        <f t="shared" si="2"/>
        <v>150167.447368421</v>
      </c>
      <c r="I96" s="37">
        <f t="shared" si="3"/>
        <v>21</v>
      </c>
    </row>
    <row r="97" ht="14.25" customHeight="1" spans="1:9">
      <c r="A97" s="34">
        <v>43971</v>
      </c>
      <c r="B97" s="35" t="s">
        <v>13</v>
      </c>
      <c r="C97" s="35">
        <v>29955</v>
      </c>
      <c r="D97" s="35">
        <v>2692230</v>
      </c>
      <c r="E97" s="32">
        <v>19</v>
      </c>
      <c r="F97" s="32">
        <v>1889</v>
      </c>
      <c r="G97" s="32">
        <v>1690</v>
      </c>
      <c r="H97" s="33">
        <f t="shared" si="2"/>
        <v>141696.315789474</v>
      </c>
      <c r="I97" s="37">
        <f t="shared" si="3"/>
        <v>21</v>
      </c>
    </row>
    <row r="98" ht="14.25" customHeight="1" spans="1:9">
      <c r="A98" s="30">
        <v>43956</v>
      </c>
      <c r="B98" s="31" t="s">
        <v>13</v>
      </c>
      <c r="C98" s="31">
        <v>22848</v>
      </c>
      <c r="D98" s="31">
        <v>2079900</v>
      </c>
      <c r="E98" s="32">
        <v>19</v>
      </c>
      <c r="F98" s="32">
        <v>1417</v>
      </c>
      <c r="G98" s="32">
        <v>1245</v>
      </c>
      <c r="H98" s="33">
        <f t="shared" si="2"/>
        <v>109468.421052632</v>
      </c>
      <c r="I98" s="37">
        <f t="shared" si="3"/>
        <v>19</v>
      </c>
    </row>
    <row r="99" ht="14.25" customHeight="1" spans="1:9">
      <c r="A99" s="34">
        <v>43949</v>
      </c>
      <c r="B99" s="35" t="s">
        <v>13</v>
      </c>
      <c r="C99" s="35">
        <v>23314.5</v>
      </c>
      <c r="D99" s="35">
        <v>2136817.5</v>
      </c>
      <c r="E99" s="32">
        <v>17</v>
      </c>
      <c r="F99" s="32">
        <v>1439</v>
      </c>
      <c r="G99" s="32">
        <v>1265</v>
      </c>
      <c r="H99" s="33">
        <f t="shared" si="2"/>
        <v>125695.147058824</v>
      </c>
      <c r="I99" s="37">
        <f t="shared" si="3"/>
        <v>18</v>
      </c>
    </row>
    <row r="100" ht="14.25" customHeight="1" spans="1:9">
      <c r="A100" s="30">
        <v>43964</v>
      </c>
      <c r="B100" s="31" t="s">
        <v>13</v>
      </c>
      <c r="C100" s="31">
        <v>26464.5</v>
      </c>
      <c r="D100" s="31">
        <v>2373337.5</v>
      </c>
      <c r="E100" s="32">
        <v>19</v>
      </c>
      <c r="F100" s="32">
        <v>1625</v>
      </c>
      <c r="G100" s="32">
        <v>1444</v>
      </c>
      <c r="H100" s="33">
        <f t="shared" si="2"/>
        <v>124912.5</v>
      </c>
      <c r="I100" s="37">
        <f t="shared" si="3"/>
        <v>20</v>
      </c>
    </row>
    <row r="101" ht="14.25" customHeight="1" spans="1:9">
      <c r="A101" s="34">
        <v>43954</v>
      </c>
      <c r="B101" s="35" t="s">
        <v>13</v>
      </c>
      <c r="C101" s="35">
        <v>23539.5</v>
      </c>
      <c r="D101" s="35">
        <v>2170309.5</v>
      </c>
      <c r="E101" s="32">
        <v>19</v>
      </c>
      <c r="F101" s="32">
        <v>1402</v>
      </c>
      <c r="G101" s="32">
        <v>1234</v>
      </c>
      <c r="H101" s="33">
        <f t="shared" si="2"/>
        <v>114226.815789474</v>
      </c>
      <c r="I101" s="37">
        <f t="shared" si="3"/>
        <v>18</v>
      </c>
    </row>
    <row r="102" ht="14.25" customHeight="1" spans="1:9">
      <c r="A102" s="30">
        <v>43957</v>
      </c>
      <c r="B102" s="31" t="s">
        <v>13</v>
      </c>
      <c r="C102" s="31">
        <v>24678</v>
      </c>
      <c r="D102" s="31">
        <v>2232519</v>
      </c>
      <c r="E102" s="32">
        <v>19</v>
      </c>
      <c r="F102" s="32">
        <v>1499</v>
      </c>
      <c r="G102" s="32">
        <v>1323</v>
      </c>
      <c r="H102" s="33">
        <f t="shared" si="2"/>
        <v>117501</v>
      </c>
      <c r="I102" s="37">
        <f t="shared" si="3"/>
        <v>19</v>
      </c>
    </row>
    <row r="103" ht="14.25" customHeight="1" spans="1:9">
      <c r="A103" s="34">
        <v>43974</v>
      </c>
      <c r="B103" s="35" t="s">
        <v>13</v>
      </c>
      <c r="C103" s="35">
        <v>38176.5</v>
      </c>
      <c r="D103" s="35">
        <v>3385372.5</v>
      </c>
      <c r="E103" s="32">
        <v>20</v>
      </c>
      <c r="F103" s="32">
        <v>2266</v>
      </c>
      <c r="G103" s="32">
        <v>1993</v>
      </c>
      <c r="H103" s="33">
        <f t="shared" si="2"/>
        <v>169268.625</v>
      </c>
      <c r="I103" s="37">
        <f t="shared" si="3"/>
        <v>21</v>
      </c>
    </row>
    <row r="104" ht="14.25" customHeight="1" spans="1:9">
      <c r="A104" s="30">
        <v>43976</v>
      </c>
      <c r="B104" s="31" t="s">
        <v>13</v>
      </c>
      <c r="C104" s="31">
        <v>30603</v>
      </c>
      <c r="D104" s="31">
        <v>2865727.5</v>
      </c>
      <c r="E104" s="32">
        <v>20</v>
      </c>
      <c r="F104" s="32">
        <v>2011</v>
      </c>
      <c r="G104" s="32">
        <v>1791</v>
      </c>
      <c r="H104" s="33">
        <f t="shared" si="2"/>
        <v>143286.375</v>
      </c>
      <c r="I104" s="37">
        <f t="shared" si="3"/>
        <v>22</v>
      </c>
    </row>
    <row r="105" ht="14.25" customHeight="1" spans="1:9">
      <c r="A105" s="34">
        <v>43951</v>
      </c>
      <c r="B105" s="35" t="s">
        <v>13</v>
      </c>
      <c r="C105" s="35">
        <v>24211.5</v>
      </c>
      <c r="D105" s="35">
        <v>2267664</v>
      </c>
      <c r="E105" s="32">
        <v>19</v>
      </c>
      <c r="F105" s="32">
        <v>1499</v>
      </c>
      <c r="G105" s="32">
        <v>1322</v>
      </c>
      <c r="H105" s="33">
        <f t="shared" si="2"/>
        <v>119350.736842105</v>
      </c>
      <c r="I105" s="37">
        <f t="shared" si="3"/>
        <v>18</v>
      </c>
    </row>
    <row r="106" ht="14.25" customHeight="1" spans="1:9">
      <c r="A106" s="30">
        <v>43961</v>
      </c>
      <c r="B106" s="31" t="s">
        <v>13</v>
      </c>
      <c r="C106" s="31">
        <v>31399.5</v>
      </c>
      <c r="D106" s="31">
        <v>2862298.5</v>
      </c>
      <c r="E106" s="32">
        <v>19</v>
      </c>
      <c r="F106" s="32">
        <v>1848</v>
      </c>
      <c r="G106" s="32">
        <v>1649</v>
      </c>
      <c r="H106" s="33">
        <f t="shared" si="2"/>
        <v>150647.289473684</v>
      </c>
      <c r="I106" s="37">
        <f t="shared" si="3"/>
        <v>19</v>
      </c>
    </row>
    <row r="107" ht="14.25" customHeight="1" spans="1:9">
      <c r="A107" s="34">
        <v>43959</v>
      </c>
      <c r="B107" s="35" t="s">
        <v>13</v>
      </c>
      <c r="C107" s="35">
        <v>25294.5</v>
      </c>
      <c r="D107" s="35">
        <v>2271454.5</v>
      </c>
      <c r="E107" s="32">
        <v>19</v>
      </c>
      <c r="F107" s="32">
        <v>1522</v>
      </c>
      <c r="G107" s="32">
        <v>1340</v>
      </c>
      <c r="H107" s="33">
        <f t="shared" si="2"/>
        <v>119550.236842105</v>
      </c>
      <c r="I107" s="37">
        <f t="shared" si="3"/>
        <v>19</v>
      </c>
    </row>
    <row r="108" ht="14.25" customHeight="1" spans="1:9">
      <c r="A108" s="30">
        <v>43958</v>
      </c>
      <c r="B108" s="31" t="s">
        <v>13</v>
      </c>
      <c r="C108" s="31">
        <v>25468.5</v>
      </c>
      <c r="D108" s="31">
        <v>2350672.5</v>
      </c>
      <c r="E108" s="32">
        <v>19</v>
      </c>
      <c r="F108" s="32">
        <v>1530</v>
      </c>
      <c r="G108" s="32">
        <v>1338</v>
      </c>
      <c r="H108" s="33">
        <f t="shared" si="2"/>
        <v>123719.605263158</v>
      </c>
      <c r="I108" s="37">
        <f t="shared" si="3"/>
        <v>19</v>
      </c>
    </row>
    <row r="109" ht="14.25" customHeight="1" spans="1:9">
      <c r="A109" s="34">
        <v>43975</v>
      </c>
      <c r="B109" s="35" t="s">
        <v>13</v>
      </c>
      <c r="C109" s="35">
        <v>31854</v>
      </c>
      <c r="D109" s="35">
        <v>2915533.5</v>
      </c>
      <c r="E109" s="32">
        <v>20</v>
      </c>
      <c r="F109" s="32">
        <v>2015</v>
      </c>
      <c r="G109" s="32">
        <v>1803</v>
      </c>
      <c r="H109" s="33">
        <f t="shared" si="2"/>
        <v>145776.675</v>
      </c>
      <c r="I109" s="37">
        <f t="shared" si="3"/>
        <v>21</v>
      </c>
    </row>
    <row r="110" ht="14.25" customHeight="1" spans="1:9">
      <c r="A110" s="30">
        <v>43982</v>
      </c>
      <c r="B110" s="31" t="s">
        <v>13</v>
      </c>
      <c r="C110" s="31">
        <v>32359.5</v>
      </c>
      <c r="D110" s="31">
        <v>2991999</v>
      </c>
      <c r="E110" s="32">
        <v>20</v>
      </c>
      <c r="F110" s="32">
        <v>2060</v>
      </c>
      <c r="G110" s="32">
        <v>1826</v>
      </c>
      <c r="H110" s="33">
        <f t="shared" si="2"/>
        <v>149599.95</v>
      </c>
      <c r="I110" s="37">
        <f t="shared" si="3"/>
        <v>22</v>
      </c>
    </row>
    <row r="111" ht="14.25" customHeight="1" spans="1:9">
      <c r="A111" s="34">
        <v>43981</v>
      </c>
      <c r="B111" s="35" t="s">
        <v>13</v>
      </c>
      <c r="C111" s="35">
        <v>39867</v>
      </c>
      <c r="D111" s="35">
        <v>3654166.5</v>
      </c>
      <c r="E111" s="32">
        <v>20</v>
      </c>
      <c r="F111" s="32">
        <v>2451</v>
      </c>
      <c r="G111" s="32">
        <v>2178</v>
      </c>
      <c r="H111" s="33">
        <f t="shared" si="2"/>
        <v>182708.325</v>
      </c>
      <c r="I111" s="37">
        <f t="shared" si="3"/>
        <v>22</v>
      </c>
    </row>
    <row r="112" ht="14.25" customHeight="1" spans="1:9">
      <c r="A112" s="30">
        <v>43979</v>
      </c>
      <c r="B112" s="31" t="s">
        <v>13</v>
      </c>
      <c r="C112" s="31">
        <v>31974</v>
      </c>
      <c r="D112" s="31">
        <v>3004213.5</v>
      </c>
      <c r="E112" s="32">
        <v>20</v>
      </c>
      <c r="F112" s="32">
        <v>2088</v>
      </c>
      <c r="G112" s="32">
        <v>1848</v>
      </c>
      <c r="H112" s="33">
        <f t="shared" si="2"/>
        <v>150210.675</v>
      </c>
      <c r="I112" s="37">
        <f t="shared" si="3"/>
        <v>22</v>
      </c>
    </row>
    <row r="113" ht="14.25" customHeight="1" spans="1:9">
      <c r="A113" s="34">
        <v>43967</v>
      </c>
      <c r="B113" s="35" t="s">
        <v>14</v>
      </c>
      <c r="C113" s="35">
        <v>321412.5</v>
      </c>
      <c r="D113" s="35">
        <v>32235864</v>
      </c>
      <c r="E113" s="32">
        <v>129</v>
      </c>
      <c r="F113" s="32">
        <v>17914</v>
      </c>
      <c r="G113" s="32">
        <v>16631</v>
      </c>
      <c r="H113" s="33">
        <f t="shared" si="2"/>
        <v>249890.418604651</v>
      </c>
      <c r="I113" s="37">
        <f t="shared" si="3"/>
        <v>20</v>
      </c>
    </row>
    <row r="114" ht="14.25" customHeight="1" spans="1:9">
      <c r="A114" s="30">
        <v>43970</v>
      </c>
      <c r="B114" s="31" t="s">
        <v>14</v>
      </c>
      <c r="C114" s="31">
        <v>276568.5</v>
      </c>
      <c r="D114" s="31">
        <v>27093624</v>
      </c>
      <c r="E114" s="32">
        <v>129</v>
      </c>
      <c r="F114" s="32">
        <v>16191</v>
      </c>
      <c r="G114" s="32">
        <v>15102</v>
      </c>
      <c r="H114" s="33">
        <f t="shared" si="2"/>
        <v>210028.093023256</v>
      </c>
      <c r="I114" s="37">
        <f t="shared" si="3"/>
        <v>21</v>
      </c>
    </row>
    <row r="115" ht="14.25" customHeight="1" spans="1:9">
      <c r="A115" s="34">
        <v>43968</v>
      </c>
      <c r="B115" s="35" t="s">
        <v>14</v>
      </c>
      <c r="C115" s="35">
        <v>269029.5</v>
      </c>
      <c r="D115" s="35">
        <v>26659930.5</v>
      </c>
      <c r="E115" s="32">
        <v>129</v>
      </c>
      <c r="F115" s="32">
        <v>15744</v>
      </c>
      <c r="G115" s="32">
        <v>14685</v>
      </c>
      <c r="H115" s="33">
        <f t="shared" si="2"/>
        <v>206666.127906977</v>
      </c>
      <c r="I115" s="37">
        <f t="shared" si="3"/>
        <v>20</v>
      </c>
    </row>
    <row r="116" ht="14.25" customHeight="1" spans="1:9">
      <c r="A116" s="30">
        <v>43960</v>
      </c>
      <c r="B116" s="31" t="s">
        <v>14</v>
      </c>
      <c r="C116" s="31">
        <v>285972</v>
      </c>
      <c r="D116" s="31">
        <v>29768199</v>
      </c>
      <c r="E116" s="32">
        <v>129</v>
      </c>
      <c r="F116" s="32">
        <v>16420</v>
      </c>
      <c r="G116" s="32">
        <v>15169</v>
      </c>
      <c r="H116" s="33">
        <f t="shared" si="2"/>
        <v>230761.23255814</v>
      </c>
      <c r="I116" s="37">
        <f t="shared" si="3"/>
        <v>19</v>
      </c>
    </row>
    <row r="117" ht="14.25" customHeight="1" spans="1:9">
      <c r="A117" s="34">
        <v>43955</v>
      </c>
      <c r="B117" s="35" t="s">
        <v>14</v>
      </c>
      <c r="C117" s="35">
        <v>283942.5</v>
      </c>
      <c r="D117" s="35">
        <v>29357940</v>
      </c>
      <c r="E117" s="32">
        <v>129</v>
      </c>
      <c r="F117" s="32">
        <v>16525</v>
      </c>
      <c r="G117" s="32">
        <v>15310</v>
      </c>
      <c r="H117" s="33">
        <f t="shared" si="2"/>
        <v>227580.930232558</v>
      </c>
      <c r="I117" s="37">
        <f t="shared" si="3"/>
        <v>19</v>
      </c>
    </row>
    <row r="118" ht="14.25" customHeight="1" spans="1:9">
      <c r="A118" s="30">
        <v>43950</v>
      </c>
      <c r="B118" s="31" t="s">
        <v>14</v>
      </c>
      <c r="C118" s="31">
        <v>298059</v>
      </c>
      <c r="D118" s="31">
        <v>30869287.5</v>
      </c>
      <c r="E118" s="32">
        <v>128</v>
      </c>
      <c r="F118" s="32">
        <v>17368</v>
      </c>
      <c r="G118" s="32">
        <v>16077</v>
      </c>
      <c r="H118" s="33">
        <f t="shared" si="2"/>
        <v>241166.30859375</v>
      </c>
      <c r="I118" s="37">
        <f t="shared" si="3"/>
        <v>18</v>
      </c>
    </row>
    <row r="119" ht="14.25" customHeight="1" spans="1:9">
      <c r="A119" s="34">
        <v>43953</v>
      </c>
      <c r="B119" s="35" t="s">
        <v>14</v>
      </c>
      <c r="C119" s="35">
        <v>232903.5</v>
      </c>
      <c r="D119" s="35">
        <v>24342016.5</v>
      </c>
      <c r="E119" s="32">
        <v>129</v>
      </c>
      <c r="F119" s="32">
        <v>14009</v>
      </c>
      <c r="G119" s="32">
        <v>12920</v>
      </c>
      <c r="H119" s="33">
        <f t="shared" si="2"/>
        <v>188697.802325581</v>
      </c>
      <c r="I119" s="37">
        <f t="shared" si="3"/>
        <v>18</v>
      </c>
    </row>
    <row r="120" ht="14.25" customHeight="1" spans="1:9">
      <c r="A120" s="30">
        <v>43977</v>
      </c>
      <c r="B120" s="31" t="s">
        <v>14</v>
      </c>
      <c r="C120" s="31">
        <v>276966</v>
      </c>
      <c r="D120" s="31">
        <v>27872617.89885</v>
      </c>
      <c r="E120" s="32">
        <v>129</v>
      </c>
      <c r="F120" s="32">
        <v>16459</v>
      </c>
      <c r="G120" s="32">
        <v>15355</v>
      </c>
      <c r="H120" s="33">
        <f t="shared" si="2"/>
        <v>216066.805417442</v>
      </c>
      <c r="I120" s="37">
        <f t="shared" si="3"/>
        <v>22</v>
      </c>
    </row>
    <row r="121" ht="14.25" customHeight="1" spans="1:9">
      <c r="A121" s="34">
        <v>43952</v>
      </c>
      <c r="B121" s="35" t="s">
        <v>14</v>
      </c>
      <c r="C121" s="35">
        <v>296149.5</v>
      </c>
      <c r="D121" s="35">
        <v>31053316.5</v>
      </c>
      <c r="E121" s="32">
        <v>129</v>
      </c>
      <c r="F121" s="32">
        <v>17002</v>
      </c>
      <c r="G121" s="32">
        <v>15570</v>
      </c>
      <c r="H121" s="33">
        <f t="shared" si="2"/>
        <v>240723.38372093</v>
      </c>
      <c r="I121" s="37">
        <f t="shared" si="3"/>
        <v>18</v>
      </c>
    </row>
    <row r="122" ht="14.25" customHeight="1" spans="1:9">
      <c r="A122" s="30">
        <v>43963</v>
      </c>
      <c r="B122" s="31" t="s">
        <v>14</v>
      </c>
      <c r="C122" s="31">
        <v>281796</v>
      </c>
      <c r="D122" s="31">
        <v>29042520</v>
      </c>
      <c r="E122" s="32">
        <v>129</v>
      </c>
      <c r="F122" s="32">
        <v>16387</v>
      </c>
      <c r="G122" s="32">
        <v>15322</v>
      </c>
      <c r="H122" s="33">
        <f t="shared" si="2"/>
        <v>225135.813953488</v>
      </c>
      <c r="I122" s="37">
        <f t="shared" si="3"/>
        <v>20</v>
      </c>
    </row>
    <row r="123" ht="14.25" customHeight="1" spans="1:9">
      <c r="A123" s="34">
        <v>43972</v>
      </c>
      <c r="B123" s="35" t="s">
        <v>14</v>
      </c>
      <c r="C123" s="35">
        <v>288936</v>
      </c>
      <c r="D123" s="35">
        <v>27852900</v>
      </c>
      <c r="E123" s="32">
        <v>129</v>
      </c>
      <c r="F123" s="32">
        <v>16373</v>
      </c>
      <c r="G123" s="32">
        <v>15223</v>
      </c>
      <c r="H123" s="33">
        <f t="shared" si="2"/>
        <v>215913.953488372</v>
      </c>
      <c r="I123" s="37">
        <f t="shared" si="3"/>
        <v>21</v>
      </c>
    </row>
    <row r="124" ht="14.25" customHeight="1" spans="1:9">
      <c r="A124" s="30">
        <v>43971</v>
      </c>
      <c r="B124" s="31" t="s">
        <v>14</v>
      </c>
      <c r="C124" s="31">
        <v>300151.5</v>
      </c>
      <c r="D124" s="31">
        <v>29368771.61745</v>
      </c>
      <c r="E124" s="32">
        <v>129</v>
      </c>
      <c r="F124" s="32">
        <v>17095</v>
      </c>
      <c r="G124" s="32">
        <v>15919</v>
      </c>
      <c r="H124" s="33">
        <f t="shared" si="2"/>
        <v>227664.896259302</v>
      </c>
      <c r="I124" s="37">
        <f t="shared" si="3"/>
        <v>21</v>
      </c>
    </row>
    <row r="125" ht="14.25" customHeight="1" spans="1:9">
      <c r="A125" s="34">
        <v>43956</v>
      </c>
      <c r="B125" s="35" t="s">
        <v>14</v>
      </c>
      <c r="C125" s="35">
        <v>262734</v>
      </c>
      <c r="D125" s="35">
        <v>27278441.145</v>
      </c>
      <c r="E125" s="32">
        <v>129</v>
      </c>
      <c r="F125" s="32">
        <v>15665</v>
      </c>
      <c r="G125" s="32">
        <v>14501</v>
      </c>
      <c r="H125" s="33">
        <f t="shared" si="2"/>
        <v>211460.784069767</v>
      </c>
      <c r="I125" s="37">
        <f t="shared" si="3"/>
        <v>19</v>
      </c>
    </row>
    <row r="126" ht="14.25" customHeight="1" spans="1:9">
      <c r="A126" s="30">
        <v>43949</v>
      </c>
      <c r="B126" s="31" t="s">
        <v>14</v>
      </c>
      <c r="C126" s="31">
        <v>286002</v>
      </c>
      <c r="D126" s="31">
        <v>29159032.5</v>
      </c>
      <c r="E126" s="32">
        <v>128</v>
      </c>
      <c r="F126" s="32">
        <v>16450</v>
      </c>
      <c r="G126" s="32">
        <v>15320</v>
      </c>
      <c r="H126" s="33">
        <f t="shared" si="2"/>
        <v>227804.94140625</v>
      </c>
      <c r="I126" s="37">
        <f t="shared" si="3"/>
        <v>18</v>
      </c>
    </row>
    <row r="127" ht="14.25" customHeight="1" spans="1:9">
      <c r="A127" s="34">
        <v>43964</v>
      </c>
      <c r="B127" s="35" t="s">
        <v>14</v>
      </c>
      <c r="C127" s="35">
        <v>258459</v>
      </c>
      <c r="D127" s="35">
        <v>26467453.5</v>
      </c>
      <c r="E127" s="32">
        <v>129</v>
      </c>
      <c r="F127" s="32">
        <v>15304</v>
      </c>
      <c r="G127" s="32">
        <v>14315</v>
      </c>
      <c r="H127" s="33">
        <f t="shared" si="2"/>
        <v>205174.058139535</v>
      </c>
      <c r="I127" s="37">
        <f t="shared" si="3"/>
        <v>20</v>
      </c>
    </row>
    <row r="128" ht="14.25" customHeight="1" spans="1:9">
      <c r="A128" s="30">
        <v>43954</v>
      </c>
      <c r="B128" s="31" t="s">
        <v>14</v>
      </c>
      <c r="C128" s="31">
        <v>274083</v>
      </c>
      <c r="D128" s="31">
        <v>28427001</v>
      </c>
      <c r="E128" s="32">
        <v>129</v>
      </c>
      <c r="F128" s="32">
        <v>15778</v>
      </c>
      <c r="G128" s="32">
        <v>14624</v>
      </c>
      <c r="H128" s="33">
        <f t="shared" si="2"/>
        <v>220364.348837209</v>
      </c>
      <c r="I128" s="37">
        <f t="shared" si="3"/>
        <v>18</v>
      </c>
    </row>
    <row r="129" ht="14.25" customHeight="1" spans="1:9">
      <c r="A129" s="34">
        <v>43957</v>
      </c>
      <c r="B129" s="35" t="s">
        <v>14</v>
      </c>
      <c r="C129" s="35">
        <v>277512</v>
      </c>
      <c r="D129" s="35">
        <v>28770810.1056</v>
      </c>
      <c r="E129" s="32">
        <v>129</v>
      </c>
      <c r="F129" s="32">
        <v>16376</v>
      </c>
      <c r="G129" s="32">
        <v>15197</v>
      </c>
      <c r="H129" s="33">
        <f t="shared" si="2"/>
        <v>223029.535702326</v>
      </c>
      <c r="I129" s="37">
        <f t="shared" si="3"/>
        <v>19</v>
      </c>
    </row>
    <row r="130" ht="14.25" customHeight="1" spans="1:9">
      <c r="A130" s="30">
        <v>43974</v>
      </c>
      <c r="B130" s="31" t="s">
        <v>14</v>
      </c>
      <c r="C130" s="31">
        <v>356982</v>
      </c>
      <c r="D130" s="31">
        <v>35103926.71155</v>
      </c>
      <c r="E130" s="32">
        <v>129</v>
      </c>
      <c r="F130" s="32">
        <v>19856</v>
      </c>
      <c r="G130" s="32">
        <v>18325</v>
      </c>
      <c r="H130" s="33">
        <f t="shared" si="2"/>
        <v>272123.462880233</v>
      </c>
      <c r="I130" s="37">
        <f t="shared" si="3"/>
        <v>21</v>
      </c>
    </row>
    <row r="131" ht="14.25" customHeight="1" spans="1:9">
      <c r="A131" s="34">
        <v>43976</v>
      </c>
      <c r="B131" s="35" t="s">
        <v>14</v>
      </c>
      <c r="C131" s="35">
        <v>266983.5</v>
      </c>
      <c r="D131" s="35">
        <v>27165913.5</v>
      </c>
      <c r="E131" s="32">
        <v>129</v>
      </c>
      <c r="F131" s="32">
        <v>15822</v>
      </c>
      <c r="G131" s="32">
        <v>14753</v>
      </c>
      <c r="H131" s="33">
        <f t="shared" ref="H131:H194" si="4">D131/E131</f>
        <v>210588.476744186</v>
      </c>
      <c r="I131" s="37">
        <f t="shared" ref="I131:I194" si="5">WEEKNUM(A131,2)</f>
        <v>22</v>
      </c>
    </row>
    <row r="132" ht="14.25" customHeight="1" spans="1:9">
      <c r="A132" s="30">
        <v>43951</v>
      </c>
      <c r="B132" s="31" t="s">
        <v>14</v>
      </c>
      <c r="C132" s="31">
        <v>311131.5</v>
      </c>
      <c r="D132" s="31">
        <v>32418879</v>
      </c>
      <c r="E132" s="32">
        <v>129</v>
      </c>
      <c r="F132" s="32">
        <v>18042</v>
      </c>
      <c r="G132" s="32">
        <v>16631</v>
      </c>
      <c r="H132" s="33">
        <f t="shared" si="4"/>
        <v>251309.139534884</v>
      </c>
      <c r="I132" s="37">
        <f t="shared" si="5"/>
        <v>18</v>
      </c>
    </row>
    <row r="133" ht="14.25" customHeight="1" spans="1:9">
      <c r="A133" s="34">
        <v>43961</v>
      </c>
      <c r="B133" s="35" t="s">
        <v>14</v>
      </c>
      <c r="C133" s="35">
        <v>287206.5</v>
      </c>
      <c r="D133" s="35">
        <v>29536176.10605</v>
      </c>
      <c r="E133" s="32">
        <v>129</v>
      </c>
      <c r="F133" s="32">
        <v>16437</v>
      </c>
      <c r="G133" s="32">
        <v>15285</v>
      </c>
      <c r="H133" s="33">
        <f t="shared" si="4"/>
        <v>228962.605473256</v>
      </c>
      <c r="I133" s="37">
        <f t="shared" si="5"/>
        <v>19</v>
      </c>
    </row>
    <row r="134" ht="14.25" customHeight="1" spans="1:9">
      <c r="A134" s="30">
        <v>43959</v>
      </c>
      <c r="B134" s="31" t="s">
        <v>14</v>
      </c>
      <c r="C134" s="31">
        <v>370092</v>
      </c>
      <c r="D134" s="31">
        <v>38091556.5</v>
      </c>
      <c r="E134" s="32">
        <v>129</v>
      </c>
      <c r="F134" s="32">
        <v>20452</v>
      </c>
      <c r="G134" s="32">
        <v>18857</v>
      </c>
      <c r="H134" s="33">
        <f t="shared" si="4"/>
        <v>295283.38372093</v>
      </c>
      <c r="I134" s="37">
        <f t="shared" si="5"/>
        <v>19</v>
      </c>
    </row>
    <row r="135" ht="14.25" customHeight="1" spans="1:9">
      <c r="A135" s="34">
        <v>43958</v>
      </c>
      <c r="B135" s="35" t="s">
        <v>14</v>
      </c>
      <c r="C135" s="35">
        <v>247813.5</v>
      </c>
      <c r="D135" s="35">
        <v>25325271</v>
      </c>
      <c r="E135" s="32">
        <v>129</v>
      </c>
      <c r="F135" s="32">
        <v>14582</v>
      </c>
      <c r="G135" s="32">
        <v>13512</v>
      </c>
      <c r="H135" s="33">
        <f t="shared" si="4"/>
        <v>196319.930232558</v>
      </c>
      <c r="I135" s="37">
        <f t="shared" si="5"/>
        <v>19</v>
      </c>
    </row>
    <row r="136" ht="14.25" customHeight="1" spans="1:9">
      <c r="A136" s="30">
        <v>43975</v>
      </c>
      <c r="B136" s="31" t="s">
        <v>14</v>
      </c>
      <c r="C136" s="31">
        <v>287740.5</v>
      </c>
      <c r="D136" s="31">
        <v>28188534</v>
      </c>
      <c r="E136" s="32">
        <v>129</v>
      </c>
      <c r="F136" s="32">
        <v>16432</v>
      </c>
      <c r="G136" s="32">
        <v>15345</v>
      </c>
      <c r="H136" s="33">
        <f t="shared" si="4"/>
        <v>218515.76744186</v>
      </c>
      <c r="I136" s="37">
        <f t="shared" si="5"/>
        <v>21</v>
      </c>
    </row>
    <row r="137" ht="14.25" customHeight="1" spans="1:9">
      <c r="A137" s="34">
        <v>43967</v>
      </c>
      <c r="B137" s="35" t="s">
        <v>15</v>
      </c>
      <c r="C137" s="35">
        <v>408810</v>
      </c>
      <c r="D137" s="35">
        <v>42323631</v>
      </c>
      <c r="E137" s="32">
        <v>125</v>
      </c>
      <c r="F137" s="32">
        <v>22291</v>
      </c>
      <c r="G137" s="32">
        <v>20635</v>
      </c>
      <c r="H137" s="33">
        <f t="shared" si="4"/>
        <v>338589.048</v>
      </c>
      <c r="I137" s="37">
        <f t="shared" si="5"/>
        <v>20</v>
      </c>
    </row>
    <row r="138" ht="14.25" customHeight="1" spans="1:9">
      <c r="A138" s="30">
        <v>43970</v>
      </c>
      <c r="B138" s="31" t="s">
        <v>15</v>
      </c>
      <c r="C138" s="31">
        <v>362536.5</v>
      </c>
      <c r="D138" s="31">
        <v>37023243</v>
      </c>
      <c r="E138" s="32">
        <v>125</v>
      </c>
      <c r="F138" s="32">
        <v>20771</v>
      </c>
      <c r="G138" s="32">
        <v>19338</v>
      </c>
      <c r="H138" s="33">
        <f t="shared" si="4"/>
        <v>296185.944</v>
      </c>
      <c r="I138" s="37">
        <f t="shared" si="5"/>
        <v>21</v>
      </c>
    </row>
    <row r="139" ht="14.25" customHeight="1" spans="1:9">
      <c r="A139" s="34">
        <v>43968</v>
      </c>
      <c r="B139" s="35" t="s">
        <v>15</v>
      </c>
      <c r="C139" s="35">
        <v>357072</v>
      </c>
      <c r="D139" s="35">
        <v>36834567</v>
      </c>
      <c r="E139" s="32">
        <v>125</v>
      </c>
      <c r="F139" s="32">
        <v>20079</v>
      </c>
      <c r="G139" s="32">
        <v>18721</v>
      </c>
      <c r="H139" s="33">
        <f t="shared" si="4"/>
        <v>294676.536</v>
      </c>
      <c r="I139" s="37">
        <f t="shared" si="5"/>
        <v>20</v>
      </c>
    </row>
    <row r="140" ht="14.25" customHeight="1" spans="1:9">
      <c r="A140" s="30">
        <v>43960</v>
      </c>
      <c r="B140" s="31" t="s">
        <v>15</v>
      </c>
      <c r="C140" s="31">
        <v>359214</v>
      </c>
      <c r="D140" s="31">
        <v>38693427</v>
      </c>
      <c r="E140" s="32">
        <v>125</v>
      </c>
      <c r="F140" s="32">
        <v>20132</v>
      </c>
      <c r="G140" s="32">
        <v>18617</v>
      </c>
      <c r="H140" s="33">
        <f t="shared" si="4"/>
        <v>309547.416</v>
      </c>
      <c r="I140" s="37">
        <f t="shared" si="5"/>
        <v>19</v>
      </c>
    </row>
    <row r="141" ht="14.25" customHeight="1" spans="1:9">
      <c r="A141" s="34">
        <v>43955</v>
      </c>
      <c r="B141" s="35" t="s">
        <v>15</v>
      </c>
      <c r="C141" s="35">
        <v>360255</v>
      </c>
      <c r="D141" s="35">
        <v>38406954</v>
      </c>
      <c r="E141" s="32">
        <v>125</v>
      </c>
      <c r="F141" s="32">
        <v>20495</v>
      </c>
      <c r="G141" s="32">
        <v>18964</v>
      </c>
      <c r="H141" s="33">
        <f t="shared" si="4"/>
        <v>307255.632</v>
      </c>
      <c r="I141" s="37">
        <f t="shared" si="5"/>
        <v>19</v>
      </c>
    </row>
    <row r="142" ht="14.25" customHeight="1" spans="1:9">
      <c r="A142" s="30">
        <v>43950</v>
      </c>
      <c r="B142" s="31" t="s">
        <v>15</v>
      </c>
      <c r="C142" s="31">
        <v>387220.5</v>
      </c>
      <c r="D142" s="31">
        <v>41559384</v>
      </c>
      <c r="E142" s="32">
        <v>125</v>
      </c>
      <c r="F142" s="32">
        <v>21863</v>
      </c>
      <c r="G142" s="32">
        <v>20160</v>
      </c>
      <c r="H142" s="33">
        <f t="shared" si="4"/>
        <v>332475.072</v>
      </c>
      <c r="I142" s="37">
        <f t="shared" si="5"/>
        <v>18</v>
      </c>
    </row>
    <row r="143" ht="14.25" customHeight="1" spans="1:9">
      <c r="A143" s="34">
        <v>43953</v>
      </c>
      <c r="B143" s="35" t="s">
        <v>15</v>
      </c>
      <c r="C143" s="35">
        <v>296580</v>
      </c>
      <c r="D143" s="35">
        <v>31843737</v>
      </c>
      <c r="E143" s="32">
        <v>125</v>
      </c>
      <c r="F143" s="32">
        <v>16932</v>
      </c>
      <c r="G143" s="32">
        <v>15601</v>
      </c>
      <c r="H143" s="33">
        <f t="shared" si="4"/>
        <v>254749.896</v>
      </c>
      <c r="I143" s="37">
        <f t="shared" si="5"/>
        <v>18</v>
      </c>
    </row>
    <row r="144" ht="14.25" customHeight="1" spans="1:9">
      <c r="A144" s="30">
        <v>43977</v>
      </c>
      <c r="B144" s="31" t="s">
        <v>15</v>
      </c>
      <c r="C144" s="31">
        <v>369861</v>
      </c>
      <c r="D144" s="31">
        <v>38365960.5</v>
      </c>
      <c r="E144" s="32">
        <v>124</v>
      </c>
      <c r="F144" s="32">
        <v>21153</v>
      </c>
      <c r="G144" s="32">
        <v>19673</v>
      </c>
      <c r="H144" s="33">
        <f t="shared" si="4"/>
        <v>309402.907258065</v>
      </c>
      <c r="I144" s="37">
        <f t="shared" si="5"/>
        <v>22</v>
      </c>
    </row>
    <row r="145" ht="14.25" customHeight="1" spans="1:9">
      <c r="A145" s="34">
        <v>43952</v>
      </c>
      <c r="B145" s="35" t="s">
        <v>15</v>
      </c>
      <c r="C145" s="35">
        <v>372504</v>
      </c>
      <c r="D145" s="35">
        <v>40077193.5</v>
      </c>
      <c r="E145" s="32">
        <v>125</v>
      </c>
      <c r="F145" s="32">
        <v>20602</v>
      </c>
      <c r="G145" s="32">
        <v>18845</v>
      </c>
      <c r="H145" s="33">
        <f t="shared" si="4"/>
        <v>320617.548</v>
      </c>
      <c r="I145" s="37">
        <f t="shared" si="5"/>
        <v>18</v>
      </c>
    </row>
    <row r="146" ht="14.25" customHeight="1" spans="1:9">
      <c r="A146" s="30">
        <v>43963</v>
      </c>
      <c r="B146" s="31" t="s">
        <v>15</v>
      </c>
      <c r="C146" s="31">
        <v>373392</v>
      </c>
      <c r="D146" s="31">
        <v>39578577</v>
      </c>
      <c r="E146" s="32">
        <v>125</v>
      </c>
      <c r="F146" s="32">
        <v>21106</v>
      </c>
      <c r="G146" s="32">
        <v>19651</v>
      </c>
      <c r="H146" s="33">
        <f t="shared" si="4"/>
        <v>316628.616</v>
      </c>
      <c r="I146" s="37">
        <f t="shared" si="5"/>
        <v>20</v>
      </c>
    </row>
    <row r="147" ht="14.25" customHeight="1" spans="1:9">
      <c r="A147" s="34">
        <v>43972</v>
      </c>
      <c r="B147" s="35" t="s">
        <v>15</v>
      </c>
      <c r="C147" s="35">
        <v>378043.5</v>
      </c>
      <c r="D147" s="35">
        <v>37902156.57</v>
      </c>
      <c r="E147" s="32">
        <v>125</v>
      </c>
      <c r="F147" s="32">
        <v>20911</v>
      </c>
      <c r="G147" s="32">
        <v>19358</v>
      </c>
      <c r="H147" s="33">
        <f t="shared" si="4"/>
        <v>303217.25256</v>
      </c>
      <c r="I147" s="37">
        <f t="shared" si="5"/>
        <v>21</v>
      </c>
    </row>
    <row r="148" ht="14.25" customHeight="1" spans="1:9">
      <c r="A148" s="30">
        <v>43971</v>
      </c>
      <c r="B148" s="31" t="s">
        <v>15</v>
      </c>
      <c r="C148" s="31">
        <v>388668</v>
      </c>
      <c r="D148" s="31">
        <v>39639309</v>
      </c>
      <c r="E148" s="32">
        <v>125</v>
      </c>
      <c r="F148" s="32">
        <v>21674</v>
      </c>
      <c r="G148" s="32">
        <v>20155</v>
      </c>
      <c r="H148" s="33">
        <f t="shared" si="4"/>
        <v>317114.472</v>
      </c>
      <c r="I148" s="37">
        <f t="shared" si="5"/>
        <v>21</v>
      </c>
    </row>
    <row r="149" ht="14.25" customHeight="1" spans="1:9">
      <c r="A149" s="34">
        <v>43956</v>
      </c>
      <c r="B149" s="35" t="s">
        <v>15</v>
      </c>
      <c r="C149" s="35">
        <v>333792</v>
      </c>
      <c r="D149" s="35">
        <v>35671734</v>
      </c>
      <c r="E149" s="32">
        <v>125</v>
      </c>
      <c r="F149" s="32">
        <v>18944</v>
      </c>
      <c r="G149" s="32">
        <v>17541</v>
      </c>
      <c r="H149" s="33">
        <f t="shared" si="4"/>
        <v>285373.872</v>
      </c>
      <c r="I149" s="37">
        <f t="shared" si="5"/>
        <v>19</v>
      </c>
    </row>
    <row r="150" ht="14.25" customHeight="1" spans="1:9">
      <c r="A150" s="30">
        <v>43949</v>
      </c>
      <c r="B150" s="31" t="s">
        <v>15</v>
      </c>
      <c r="C150" s="31">
        <v>376060.5</v>
      </c>
      <c r="D150" s="31">
        <v>39918028.5</v>
      </c>
      <c r="E150" s="32">
        <v>125</v>
      </c>
      <c r="F150" s="32">
        <v>20914</v>
      </c>
      <c r="G150" s="32">
        <v>19479</v>
      </c>
      <c r="H150" s="33">
        <f t="shared" si="4"/>
        <v>319344.228</v>
      </c>
      <c r="I150" s="37">
        <f t="shared" si="5"/>
        <v>18</v>
      </c>
    </row>
    <row r="151" ht="14.25" customHeight="1" spans="1:9">
      <c r="A151" s="34">
        <v>43964</v>
      </c>
      <c r="B151" s="35" t="s">
        <v>15</v>
      </c>
      <c r="C151" s="35">
        <v>350068.5</v>
      </c>
      <c r="D151" s="35">
        <v>37197115.5</v>
      </c>
      <c r="E151" s="32">
        <v>125</v>
      </c>
      <c r="F151" s="32">
        <v>19965</v>
      </c>
      <c r="G151" s="32">
        <v>18573</v>
      </c>
      <c r="H151" s="33">
        <f t="shared" si="4"/>
        <v>297576.924</v>
      </c>
      <c r="I151" s="37">
        <f t="shared" si="5"/>
        <v>20</v>
      </c>
    </row>
    <row r="152" ht="14.25" customHeight="1" spans="1:9">
      <c r="A152" s="30">
        <v>43982</v>
      </c>
      <c r="B152" s="31" t="s">
        <v>14</v>
      </c>
      <c r="C152" s="31">
        <v>294337.5</v>
      </c>
      <c r="D152" s="31">
        <v>29327766</v>
      </c>
      <c r="E152" s="32">
        <v>129</v>
      </c>
      <c r="F152" s="32">
        <v>17235</v>
      </c>
      <c r="G152" s="32">
        <v>16052</v>
      </c>
      <c r="H152" s="33">
        <f t="shared" si="4"/>
        <v>227347.023255814</v>
      </c>
      <c r="I152" s="37">
        <f t="shared" si="5"/>
        <v>22</v>
      </c>
    </row>
    <row r="153" ht="14.25" customHeight="1" spans="1:9">
      <c r="A153" s="34">
        <v>43954</v>
      </c>
      <c r="B153" s="35" t="s">
        <v>15</v>
      </c>
      <c r="C153" s="35">
        <v>342666</v>
      </c>
      <c r="D153" s="35">
        <v>36631999.5</v>
      </c>
      <c r="E153" s="32">
        <v>125</v>
      </c>
      <c r="F153" s="32">
        <v>18861</v>
      </c>
      <c r="G153" s="32">
        <v>17420</v>
      </c>
      <c r="H153" s="33">
        <f t="shared" si="4"/>
        <v>293055.996</v>
      </c>
      <c r="I153" s="37">
        <f t="shared" si="5"/>
        <v>18</v>
      </c>
    </row>
    <row r="154" ht="14.25" customHeight="1" spans="1:9">
      <c r="A154" s="30">
        <v>43981</v>
      </c>
      <c r="B154" s="31" t="s">
        <v>14</v>
      </c>
      <c r="C154" s="31">
        <v>364882.5</v>
      </c>
      <c r="D154" s="31">
        <v>35724493.5</v>
      </c>
      <c r="E154" s="32">
        <v>129</v>
      </c>
      <c r="F154" s="32">
        <v>20243</v>
      </c>
      <c r="G154" s="32">
        <v>18711</v>
      </c>
      <c r="H154" s="33">
        <f t="shared" si="4"/>
        <v>276934.058139535</v>
      </c>
      <c r="I154" s="37">
        <f t="shared" si="5"/>
        <v>22</v>
      </c>
    </row>
    <row r="155" ht="14.25" customHeight="1" spans="1:9">
      <c r="A155" s="34">
        <v>43957</v>
      </c>
      <c r="B155" s="35" t="s">
        <v>15</v>
      </c>
      <c r="C155" s="35">
        <v>355278</v>
      </c>
      <c r="D155" s="35">
        <v>38092344</v>
      </c>
      <c r="E155" s="32">
        <v>125</v>
      </c>
      <c r="F155" s="32">
        <v>20218</v>
      </c>
      <c r="G155" s="32">
        <v>18647</v>
      </c>
      <c r="H155" s="33">
        <f t="shared" si="4"/>
        <v>304738.752</v>
      </c>
      <c r="I155" s="37">
        <f t="shared" si="5"/>
        <v>19</v>
      </c>
    </row>
    <row r="156" ht="14.25" customHeight="1" spans="1:9">
      <c r="A156" s="30">
        <v>43974</v>
      </c>
      <c r="B156" s="31" t="s">
        <v>15</v>
      </c>
      <c r="C156" s="31">
        <v>456885</v>
      </c>
      <c r="D156" s="31">
        <v>46408080</v>
      </c>
      <c r="E156" s="32">
        <v>125</v>
      </c>
      <c r="F156" s="32">
        <v>24574</v>
      </c>
      <c r="G156" s="32">
        <v>22609</v>
      </c>
      <c r="H156" s="33">
        <f t="shared" si="4"/>
        <v>371264.64</v>
      </c>
      <c r="I156" s="37">
        <f t="shared" si="5"/>
        <v>21</v>
      </c>
    </row>
    <row r="157" ht="14.25" customHeight="1" spans="1:9">
      <c r="A157" s="34">
        <v>43979</v>
      </c>
      <c r="B157" s="35" t="s">
        <v>14</v>
      </c>
      <c r="C157" s="35">
        <v>278491.5</v>
      </c>
      <c r="D157" s="35">
        <v>28151004.75</v>
      </c>
      <c r="E157" s="32">
        <v>129</v>
      </c>
      <c r="F157" s="32">
        <v>16453</v>
      </c>
      <c r="G157" s="32">
        <v>15289</v>
      </c>
      <c r="H157" s="33">
        <f t="shared" si="4"/>
        <v>218224.843023256</v>
      </c>
      <c r="I157" s="37">
        <f t="shared" si="5"/>
        <v>22</v>
      </c>
    </row>
    <row r="158" ht="14.25" customHeight="1" spans="1:9">
      <c r="A158" s="30">
        <v>43976</v>
      </c>
      <c r="B158" s="31" t="s">
        <v>15</v>
      </c>
      <c r="C158" s="31">
        <v>349734</v>
      </c>
      <c r="D158" s="31">
        <v>36883428</v>
      </c>
      <c r="E158" s="32">
        <v>124</v>
      </c>
      <c r="F158" s="32">
        <v>20358</v>
      </c>
      <c r="G158" s="32">
        <v>18890</v>
      </c>
      <c r="H158" s="33">
        <f t="shared" si="4"/>
        <v>297447</v>
      </c>
      <c r="I158" s="37">
        <f t="shared" si="5"/>
        <v>22</v>
      </c>
    </row>
    <row r="159" ht="14.25" customHeight="1" spans="1:9">
      <c r="A159" s="34">
        <v>43951</v>
      </c>
      <c r="B159" s="35" t="s">
        <v>15</v>
      </c>
      <c r="C159" s="35">
        <v>401580</v>
      </c>
      <c r="D159" s="35">
        <v>43028734.5</v>
      </c>
      <c r="E159" s="32">
        <v>125</v>
      </c>
      <c r="F159" s="32">
        <v>22368</v>
      </c>
      <c r="G159" s="32">
        <v>20625</v>
      </c>
      <c r="H159" s="33">
        <f t="shared" si="4"/>
        <v>344229.876</v>
      </c>
      <c r="I159" s="37">
        <f t="shared" si="5"/>
        <v>18</v>
      </c>
    </row>
    <row r="160" ht="14.25" customHeight="1" spans="1:9">
      <c r="A160" s="30">
        <v>43961</v>
      </c>
      <c r="B160" s="31" t="s">
        <v>15</v>
      </c>
      <c r="C160" s="31">
        <v>368649</v>
      </c>
      <c r="D160" s="31">
        <v>39010875</v>
      </c>
      <c r="E160" s="32">
        <v>125</v>
      </c>
      <c r="F160" s="32">
        <v>20368</v>
      </c>
      <c r="G160" s="32">
        <v>18884</v>
      </c>
      <c r="H160" s="33">
        <f t="shared" si="4"/>
        <v>312087</v>
      </c>
      <c r="I160" s="37">
        <f t="shared" si="5"/>
        <v>19</v>
      </c>
    </row>
    <row r="161" ht="14.25" customHeight="1" spans="1:9">
      <c r="A161" s="34">
        <v>43959</v>
      </c>
      <c r="B161" s="35" t="s">
        <v>15</v>
      </c>
      <c r="C161" s="35">
        <v>463530</v>
      </c>
      <c r="D161" s="35">
        <v>49123180.5</v>
      </c>
      <c r="E161" s="32">
        <v>125</v>
      </c>
      <c r="F161" s="32">
        <v>24620</v>
      </c>
      <c r="G161" s="32">
        <v>22641</v>
      </c>
      <c r="H161" s="33">
        <f t="shared" si="4"/>
        <v>392985.444</v>
      </c>
      <c r="I161" s="37">
        <f t="shared" si="5"/>
        <v>19</v>
      </c>
    </row>
    <row r="162" ht="14.25" customHeight="1" spans="1:9">
      <c r="A162" s="30">
        <v>43958</v>
      </c>
      <c r="B162" s="31" t="s">
        <v>15</v>
      </c>
      <c r="C162" s="31">
        <v>319110</v>
      </c>
      <c r="D162" s="31">
        <v>33763989</v>
      </c>
      <c r="E162" s="32">
        <v>125</v>
      </c>
      <c r="F162" s="32">
        <v>18014</v>
      </c>
      <c r="G162" s="32">
        <v>16675</v>
      </c>
      <c r="H162" s="33">
        <f t="shared" si="4"/>
        <v>270111.912</v>
      </c>
      <c r="I162" s="37">
        <f t="shared" si="5"/>
        <v>19</v>
      </c>
    </row>
    <row r="163" ht="14.25" customHeight="1" spans="1:9">
      <c r="A163" s="34">
        <v>43975</v>
      </c>
      <c r="B163" s="35" t="s">
        <v>15</v>
      </c>
      <c r="C163" s="35">
        <v>375744</v>
      </c>
      <c r="D163" s="35">
        <v>38191381.5</v>
      </c>
      <c r="E163" s="32">
        <v>125</v>
      </c>
      <c r="F163" s="32">
        <v>21004</v>
      </c>
      <c r="G163" s="32">
        <v>19556</v>
      </c>
      <c r="H163" s="33">
        <f t="shared" si="4"/>
        <v>305531.052</v>
      </c>
      <c r="I163" s="37">
        <f t="shared" si="5"/>
        <v>21</v>
      </c>
    </row>
    <row r="164" ht="14.25" customHeight="1" spans="1:9">
      <c r="A164" s="30">
        <v>43967</v>
      </c>
      <c r="B164" s="31" t="s">
        <v>16</v>
      </c>
      <c r="C164" s="31">
        <v>81331.5</v>
      </c>
      <c r="D164" s="31">
        <v>6652179</v>
      </c>
      <c r="E164" s="32">
        <v>36</v>
      </c>
      <c r="F164" s="32">
        <v>5286</v>
      </c>
      <c r="G164" s="32">
        <v>4867</v>
      </c>
      <c r="H164" s="33">
        <f t="shared" si="4"/>
        <v>184782.75</v>
      </c>
      <c r="I164" s="37">
        <f t="shared" si="5"/>
        <v>20</v>
      </c>
    </row>
    <row r="165" ht="14.25" customHeight="1" spans="1:9">
      <c r="A165" s="34">
        <v>43970</v>
      </c>
      <c r="B165" s="35" t="s">
        <v>16</v>
      </c>
      <c r="C165" s="35">
        <v>75796.5</v>
      </c>
      <c r="D165" s="35">
        <v>6173463</v>
      </c>
      <c r="E165" s="32">
        <v>36</v>
      </c>
      <c r="F165" s="32">
        <v>5094</v>
      </c>
      <c r="G165" s="32">
        <v>4716</v>
      </c>
      <c r="H165" s="33">
        <f t="shared" si="4"/>
        <v>171485.083333333</v>
      </c>
      <c r="I165" s="37">
        <f t="shared" si="5"/>
        <v>21</v>
      </c>
    </row>
    <row r="166" ht="14.25" customHeight="1" spans="1:9">
      <c r="A166" s="30">
        <v>43968</v>
      </c>
      <c r="B166" s="31" t="s">
        <v>16</v>
      </c>
      <c r="C166" s="31">
        <v>72861</v>
      </c>
      <c r="D166" s="31">
        <v>5952802.5</v>
      </c>
      <c r="E166" s="32">
        <v>36</v>
      </c>
      <c r="F166" s="32">
        <v>4918</v>
      </c>
      <c r="G166" s="32">
        <v>4554</v>
      </c>
      <c r="H166" s="33">
        <f t="shared" si="4"/>
        <v>165355.625</v>
      </c>
      <c r="I166" s="37">
        <f t="shared" si="5"/>
        <v>20</v>
      </c>
    </row>
    <row r="167" ht="14.25" customHeight="1" spans="1:9">
      <c r="A167" s="34">
        <v>43960</v>
      </c>
      <c r="B167" s="35" t="s">
        <v>16</v>
      </c>
      <c r="C167" s="35">
        <v>83373</v>
      </c>
      <c r="D167" s="35">
        <v>7253427</v>
      </c>
      <c r="E167" s="32">
        <v>36</v>
      </c>
      <c r="F167" s="32">
        <v>5413</v>
      </c>
      <c r="G167" s="32">
        <v>4959</v>
      </c>
      <c r="H167" s="33">
        <f t="shared" si="4"/>
        <v>201484.083333333</v>
      </c>
      <c r="I167" s="37">
        <f t="shared" si="5"/>
        <v>19</v>
      </c>
    </row>
    <row r="168" ht="14.25" customHeight="1" spans="1:9">
      <c r="A168" s="30">
        <v>43955</v>
      </c>
      <c r="B168" s="31" t="s">
        <v>16</v>
      </c>
      <c r="C168" s="31">
        <v>64108.5</v>
      </c>
      <c r="D168" s="31">
        <v>5561452.5</v>
      </c>
      <c r="E168" s="32">
        <v>36</v>
      </c>
      <c r="F168" s="32">
        <v>4508</v>
      </c>
      <c r="G168" s="32">
        <v>4149</v>
      </c>
      <c r="H168" s="33">
        <f t="shared" si="4"/>
        <v>154484.791666667</v>
      </c>
      <c r="I168" s="37">
        <f t="shared" si="5"/>
        <v>19</v>
      </c>
    </row>
    <row r="169" ht="14.25" customHeight="1" spans="1:9">
      <c r="A169" s="34">
        <v>43950</v>
      </c>
      <c r="B169" s="35" t="s">
        <v>16</v>
      </c>
      <c r="C169" s="35">
        <v>74707.5</v>
      </c>
      <c r="D169" s="35">
        <v>6454458</v>
      </c>
      <c r="E169" s="32">
        <v>36</v>
      </c>
      <c r="F169" s="32">
        <v>4937</v>
      </c>
      <c r="G169" s="32">
        <v>4561</v>
      </c>
      <c r="H169" s="33">
        <f t="shared" si="4"/>
        <v>179290.5</v>
      </c>
      <c r="I169" s="37">
        <f t="shared" si="5"/>
        <v>18</v>
      </c>
    </row>
    <row r="170" ht="14.25" customHeight="1" spans="1:9">
      <c r="A170" s="30">
        <v>43953</v>
      </c>
      <c r="B170" s="31" t="s">
        <v>16</v>
      </c>
      <c r="C170" s="31">
        <v>46216.5</v>
      </c>
      <c r="D170" s="31">
        <v>4118251.5</v>
      </c>
      <c r="E170" s="32">
        <v>36</v>
      </c>
      <c r="F170" s="32">
        <v>3442</v>
      </c>
      <c r="G170" s="32">
        <v>3147</v>
      </c>
      <c r="H170" s="33">
        <f t="shared" si="4"/>
        <v>114395.875</v>
      </c>
      <c r="I170" s="37">
        <f t="shared" si="5"/>
        <v>18</v>
      </c>
    </row>
    <row r="171" ht="14.25" customHeight="1" spans="1:9">
      <c r="A171" s="34">
        <v>43977</v>
      </c>
      <c r="B171" s="35" t="s">
        <v>16</v>
      </c>
      <c r="C171" s="35">
        <v>67726.5</v>
      </c>
      <c r="D171" s="35">
        <v>5864989.5</v>
      </c>
      <c r="E171" s="32">
        <v>36</v>
      </c>
      <c r="F171" s="32">
        <v>4770</v>
      </c>
      <c r="G171" s="32">
        <v>4424</v>
      </c>
      <c r="H171" s="33">
        <f t="shared" si="4"/>
        <v>162916.375</v>
      </c>
      <c r="I171" s="37">
        <f t="shared" si="5"/>
        <v>22</v>
      </c>
    </row>
    <row r="172" ht="14.25" customHeight="1" spans="1:9">
      <c r="A172" s="30">
        <v>43952</v>
      </c>
      <c r="B172" s="31" t="s">
        <v>16</v>
      </c>
      <c r="C172" s="31">
        <v>82228.5</v>
      </c>
      <c r="D172" s="31">
        <v>7032225</v>
      </c>
      <c r="E172" s="32">
        <v>36</v>
      </c>
      <c r="F172" s="32">
        <v>5457</v>
      </c>
      <c r="G172" s="32">
        <v>4916</v>
      </c>
      <c r="H172" s="33">
        <f t="shared" si="4"/>
        <v>195339.583333333</v>
      </c>
      <c r="I172" s="37">
        <f t="shared" si="5"/>
        <v>18</v>
      </c>
    </row>
    <row r="173" ht="14.25" customHeight="1" spans="1:9">
      <c r="A173" s="34">
        <v>43963</v>
      </c>
      <c r="B173" s="35" t="s">
        <v>16</v>
      </c>
      <c r="C173" s="35">
        <v>64390.5</v>
      </c>
      <c r="D173" s="35">
        <v>5523145.5</v>
      </c>
      <c r="E173" s="32">
        <v>36</v>
      </c>
      <c r="F173" s="32">
        <v>4418</v>
      </c>
      <c r="G173" s="32">
        <v>4088</v>
      </c>
      <c r="H173" s="33">
        <f t="shared" si="4"/>
        <v>153420.708333333</v>
      </c>
      <c r="I173" s="37">
        <f t="shared" si="5"/>
        <v>20</v>
      </c>
    </row>
    <row r="174" ht="14.25" customHeight="1" spans="1:9">
      <c r="A174" s="30">
        <v>43972</v>
      </c>
      <c r="B174" s="31" t="s">
        <v>16</v>
      </c>
      <c r="C174" s="31">
        <v>73126.5</v>
      </c>
      <c r="D174" s="31">
        <v>5864085</v>
      </c>
      <c r="E174" s="32">
        <v>36</v>
      </c>
      <c r="F174" s="32">
        <v>4816</v>
      </c>
      <c r="G174" s="32">
        <v>4452</v>
      </c>
      <c r="H174" s="33">
        <f t="shared" si="4"/>
        <v>162891.25</v>
      </c>
      <c r="I174" s="37">
        <f t="shared" si="5"/>
        <v>21</v>
      </c>
    </row>
    <row r="175" ht="14.25" customHeight="1" spans="1:9">
      <c r="A175" s="34">
        <v>43971</v>
      </c>
      <c r="B175" s="35" t="s">
        <v>16</v>
      </c>
      <c r="C175" s="35">
        <v>99631.5</v>
      </c>
      <c r="D175" s="35">
        <v>7121946</v>
      </c>
      <c r="E175" s="32">
        <v>36</v>
      </c>
      <c r="F175" s="32">
        <v>5914</v>
      </c>
      <c r="G175" s="32">
        <v>5384</v>
      </c>
      <c r="H175" s="33">
        <f t="shared" si="4"/>
        <v>197831.833333333</v>
      </c>
      <c r="I175" s="37">
        <f t="shared" si="5"/>
        <v>21</v>
      </c>
    </row>
    <row r="176" ht="14.25" customHeight="1" spans="1:9">
      <c r="A176" s="30">
        <v>43956</v>
      </c>
      <c r="B176" s="31" t="s">
        <v>16</v>
      </c>
      <c r="C176" s="31">
        <v>66396</v>
      </c>
      <c r="D176" s="31">
        <v>5770539</v>
      </c>
      <c r="E176" s="32">
        <v>36</v>
      </c>
      <c r="F176" s="32">
        <v>4575</v>
      </c>
      <c r="G176" s="32">
        <v>4206</v>
      </c>
      <c r="H176" s="33">
        <f t="shared" si="4"/>
        <v>160292.75</v>
      </c>
      <c r="I176" s="37">
        <f t="shared" si="5"/>
        <v>19</v>
      </c>
    </row>
    <row r="177" ht="14.25" customHeight="1" spans="1:9">
      <c r="A177" s="34">
        <v>43949</v>
      </c>
      <c r="B177" s="35" t="s">
        <v>16</v>
      </c>
      <c r="C177" s="35">
        <v>73147.5</v>
      </c>
      <c r="D177" s="35">
        <v>6288246</v>
      </c>
      <c r="E177" s="32">
        <v>36</v>
      </c>
      <c r="F177" s="32">
        <v>4923</v>
      </c>
      <c r="G177" s="32">
        <v>4560</v>
      </c>
      <c r="H177" s="33">
        <f t="shared" si="4"/>
        <v>174673.5</v>
      </c>
      <c r="I177" s="37">
        <f t="shared" si="5"/>
        <v>18</v>
      </c>
    </row>
    <row r="178" ht="14.25" customHeight="1" spans="1:9">
      <c r="A178" s="30">
        <v>43964</v>
      </c>
      <c r="B178" s="31" t="s">
        <v>16</v>
      </c>
      <c r="C178" s="31">
        <v>73062</v>
      </c>
      <c r="D178" s="31">
        <v>6333828</v>
      </c>
      <c r="E178" s="32">
        <v>36</v>
      </c>
      <c r="F178" s="32">
        <v>4967</v>
      </c>
      <c r="G178" s="32">
        <v>4583</v>
      </c>
      <c r="H178" s="33">
        <f t="shared" si="4"/>
        <v>175939.666666667</v>
      </c>
      <c r="I178" s="37">
        <f t="shared" si="5"/>
        <v>20</v>
      </c>
    </row>
    <row r="179" ht="14.25" customHeight="1" spans="1:9">
      <c r="A179" s="34">
        <v>43982</v>
      </c>
      <c r="B179" s="35" t="s">
        <v>15</v>
      </c>
      <c r="C179" s="35">
        <v>379663.5</v>
      </c>
      <c r="D179" s="35">
        <v>39380178</v>
      </c>
      <c r="E179" s="32">
        <v>124</v>
      </c>
      <c r="F179" s="32">
        <v>21392</v>
      </c>
      <c r="G179" s="32">
        <v>19869</v>
      </c>
      <c r="H179" s="33">
        <f t="shared" si="4"/>
        <v>317582.080645161</v>
      </c>
      <c r="I179" s="37">
        <f t="shared" si="5"/>
        <v>22</v>
      </c>
    </row>
    <row r="180" ht="14.25" customHeight="1" spans="1:9">
      <c r="A180" s="30">
        <v>43954</v>
      </c>
      <c r="B180" s="31" t="s">
        <v>16</v>
      </c>
      <c r="C180" s="31">
        <v>70581</v>
      </c>
      <c r="D180" s="31">
        <v>6221320.5</v>
      </c>
      <c r="E180" s="32">
        <v>36</v>
      </c>
      <c r="F180" s="32">
        <v>4751</v>
      </c>
      <c r="G180" s="32">
        <v>4370</v>
      </c>
      <c r="H180" s="33">
        <f t="shared" si="4"/>
        <v>172814.458333333</v>
      </c>
      <c r="I180" s="37">
        <f t="shared" si="5"/>
        <v>18</v>
      </c>
    </row>
    <row r="181" ht="14.25" customHeight="1" spans="1:9">
      <c r="A181" s="34">
        <v>43981</v>
      </c>
      <c r="B181" s="35" t="s">
        <v>15</v>
      </c>
      <c r="C181" s="35">
        <v>453123</v>
      </c>
      <c r="D181" s="35">
        <v>46370904</v>
      </c>
      <c r="E181" s="32">
        <v>124</v>
      </c>
      <c r="F181" s="32">
        <v>24325</v>
      </c>
      <c r="G181" s="32">
        <v>22469</v>
      </c>
      <c r="H181" s="33">
        <f t="shared" si="4"/>
        <v>373958.903225806</v>
      </c>
      <c r="I181" s="37">
        <f t="shared" si="5"/>
        <v>22</v>
      </c>
    </row>
    <row r="182" ht="14.25" customHeight="1" spans="1:9">
      <c r="A182" s="30">
        <v>43957</v>
      </c>
      <c r="B182" s="31" t="s">
        <v>16</v>
      </c>
      <c r="C182" s="31">
        <v>63012</v>
      </c>
      <c r="D182" s="31">
        <v>5454121.5</v>
      </c>
      <c r="E182" s="32">
        <v>36</v>
      </c>
      <c r="F182" s="32">
        <v>4384</v>
      </c>
      <c r="G182" s="32">
        <v>4025</v>
      </c>
      <c r="H182" s="33">
        <f t="shared" si="4"/>
        <v>151503.375</v>
      </c>
      <c r="I182" s="37">
        <f t="shared" si="5"/>
        <v>19</v>
      </c>
    </row>
    <row r="183" ht="14.25" customHeight="1" spans="1:9">
      <c r="A183" s="34">
        <v>43974</v>
      </c>
      <c r="B183" s="35" t="s">
        <v>16</v>
      </c>
      <c r="C183" s="35">
        <v>89556</v>
      </c>
      <c r="D183" s="35">
        <v>7173117</v>
      </c>
      <c r="E183" s="32">
        <v>36</v>
      </c>
      <c r="F183" s="32">
        <v>5651</v>
      </c>
      <c r="G183" s="32">
        <v>5212</v>
      </c>
      <c r="H183" s="33">
        <f t="shared" si="4"/>
        <v>199253.25</v>
      </c>
      <c r="I183" s="37">
        <f t="shared" si="5"/>
        <v>21</v>
      </c>
    </row>
    <row r="184" ht="14.25" customHeight="1" spans="1:9">
      <c r="A184" s="30">
        <v>43979</v>
      </c>
      <c r="B184" s="31" t="s">
        <v>15</v>
      </c>
      <c r="C184" s="31">
        <v>364638</v>
      </c>
      <c r="D184" s="31">
        <v>37947688.5</v>
      </c>
      <c r="E184" s="32">
        <v>124</v>
      </c>
      <c r="F184" s="32">
        <v>20868</v>
      </c>
      <c r="G184" s="32">
        <v>19342</v>
      </c>
      <c r="H184" s="33">
        <f t="shared" si="4"/>
        <v>306029.745967742</v>
      </c>
      <c r="I184" s="37">
        <f t="shared" si="5"/>
        <v>22</v>
      </c>
    </row>
    <row r="185" ht="14.25" customHeight="1" spans="1:9">
      <c r="A185" s="34">
        <v>43976</v>
      </c>
      <c r="B185" s="35" t="s">
        <v>16</v>
      </c>
      <c r="C185" s="35">
        <v>66316.5</v>
      </c>
      <c r="D185" s="35">
        <v>5704650</v>
      </c>
      <c r="E185" s="32">
        <v>36</v>
      </c>
      <c r="F185" s="32">
        <v>4641</v>
      </c>
      <c r="G185" s="32">
        <v>4274</v>
      </c>
      <c r="H185" s="33">
        <f t="shared" si="4"/>
        <v>158462.5</v>
      </c>
      <c r="I185" s="37">
        <f t="shared" si="5"/>
        <v>22</v>
      </c>
    </row>
    <row r="186" ht="14.25" customHeight="1" spans="1:9">
      <c r="A186" s="30">
        <v>43951</v>
      </c>
      <c r="B186" s="31" t="s">
        <v>16</v>
      </c>
      <c r="C186" s="31">
        <v>78235.5</v>
      </c>
      <c r="D186" s="31">
        <v>6819594</v>
      </c>
      <c r="E186" s="32">
        <v>36</v>
      </c>
      <c r="F186" s="32">
        <v>5143</v>
      </c>
      <c r="G186" s="32">
        <v>4715</v>
      </c>
      <c r="H186" s="33">
        <f t="shared" si="4"/>
        <v>189433.166666667</v>
      </c>
      <c r="I186" s="37">
        <f t="shared" si="5"/>
        <v>18</v>
      </c>
    </row>
    <row r="187" ht="14.25" customHeight="1" spans="1:9">
      <c r="A187" s="34">
        <v>43961</v>
      </c>
      <c r="B187" s="35" t="s">
        <v>16</v>
      </c>
      <c r="C187" s="35">
        <v>88311</v>
      </c>
      <c r="D187" s="35">
        <v>7726069.5</v>
      </c>
      <c r="E187" s="32">
        <v>36</v>
      </c>
      <c r="F187" s="32">
        <v>5746</v>
      </c>
      <c r="G187" s="32">
        <v>5277</v>
      </c>
      <c r="H187" s="33">
        <f t="shared" si="4"/>
        <v>214613.041666667</v>
      </c>
      <c r="I187" s="37">
        <f t="shared" si="5"/>
        <v>19</v>
      </c>
    </row>
    <row r="188" ht="14.25" customHeight="1" spans="1:9">
      <c r="A188" s="30">
        <v>43959</v>
      </c>
      <c r="B188" s="31" t="s">
        <v>16</v>
      </c>
      <c r="C188" s="31">
        <v>61804.5</v>
      </c>
      <c r="D188" s="31">
        <v>5365708.5</v>
      </c>
      <c r="E188" s="32">
        <v>36</v>
      </c>
      <c r="F188" s="32">
        <v>4199</v>
      </c>
      <c r="G188" s="32">
        <v>3867</v>
      </c>
      <c r="H188" s="33">
        <f t="shared" si="4"/>
        <v>149047.458333333</v>
      </c>
      <c r="I188" s="37">
        <f t="shared" si="5"/>
        <v>19</v>
      </c>
    </row>
    <row r="189" ht="14.25" customHeight="1" spans="1:9">
      <c r="A189" s="34">
        <v>43958</v>
      </c>
      <c r="B189" s="35" t="s">
        <v>16</v>
      </c>
      <c r="C189" s="35">
        <v>71067</v>
      </c>
      <c r="D189" s="35">
        <v>6175837.5</v>
      </c>
      <c r="E189" s="32">
        <v>36</v>
      </c>
      <c r="F189" s="32">
        <v>4826</v>
      </c>
      <c r="G189" s="32">
        <v>4426</v>
      </c>
      <c r="H189" s="33">
        <f t="shared" si="4"/>
        <v>171551.041666667</v>
      </c>
      <c r="I189" s="37">
        <f t="shared" si="5"/>
        <v>19</v>
      </c>
    </row>
    <row r="190" ht="14.25" customHeight="1" spans="1:9">
      <c r="A190" s="30">
        <v>43975</v>
      </c>
      <c r="B190" s="31" t="s">
        <v>16</v>
      </c>
      <c r="C190" s="31">
        <v>74649</v>
      </c>
      <c r="D190" s="31">
        <v>6098236.5</v>
      </c>
      <c r="E190" s="32">
        <v>36</v>
      </c>
      <c r="F190" s="32">
        <v>4915</v>
      </c>
      <c r="G190" s="32">
        <v>4562</v>
      </c>
      <c r="H190" s="33">
        <f t="shared" si="4"/>
        <v>169395.458333333</v>
      </c>
      <c r="I190" s="37">
        <f t="shared" si="5"/>
        <v>21</v>
      </c>
    </row>
    <row r="191" ht="14.25" customHeight="1" spans="1:9">
      <c r="A191" s="34">
        <v>43967</v>
      </c>
      <c r="B191" s="35" t="s">
        <v>17</v>
      </c>
      <c r="C191" s="35">
        <v>44560.5</v>
      </c>
      <c r="D191" s="35">
        <v>4025148</v>
      </c>
      <c r="E191" s="32">
        <v>21</v>
      </c>
      <c r="F191" s="32">
        <v>2427</v>
      </c>
      <c r="G191" s="32">
        <v>2213</v>
      </c>
      <c r="H191" s="33">
        <f t="shared" si="4"/>
        <v>191673.714285714</v>
      </c>
      <c r="I191" s="37">
        <f t="shared" si="5"/>
        <v>20</v>
      </c>
    </row>
    <row r="192" ht="14.25" customHeight="1" spans="1:9">
      <c r="A192" s="30">
        <v>43970</v>
      </c>
      <c r="B192" s="31" t="s">
        <v>17</v>
      </c>
      <c r="C192" s="31">
        <v>38250</v>
      </c>
      <c r="D192" s="31">
        <v>3552937.5</v>
      </c>
      <c r="E192" s="32">
        <v>21</v>
      </c>
      <c r="F192" s="32">
        <v>2245</v>
      </c>
      <c r="G192" s="32">
        <v>2053</v>
      </c>
      <c r="H192" s="33">
        <f t="shared" si="4"/>
        <v>169187.5</v>
      </c>
      <c r="I192" s="37">
        <f t="shared" si="5"/>
        <v>21</v>
      </c>
    </row>
    <row r="193" ht="14.25" customHeight="1" spans="1:9">
      <c r="A193" s="34">
        <v>43968</v>
      </c>
      <c r="B193" s="35" t="s">
        <v>17</v>
      </c>
      <c r="C193" s="35">
        <v>34830</v>
      </c>
      <c r="D193" s="35">
        <v>3191155.5</v>
      </c>
      <c r="E193" s="32">
        <v>21</v>
      </c>
      <c r="F193" s="32">
        <v>2054</v>
      </c>
      <c r="G193" s="32">
        <v>1883</v>
      </c>
      <c r="H193" s="33">
        <f t="shared" si="4"/>
        <v>151959.785714286</v>
      </c>
      <c r="I193" s="37">
        <f t="shared" si="5"/>
        <v>20</v>
      </c>
    </row>
    <row r="194" ht="14.25" customHeight="1" spans="1:9">
      <c r="A194" s="30">
        <v>43960</v>
      </c>
      <c r="B194" s="31" t="s">
        <v>17</v>
      </c>
      <c r="C194" s="31">
        <v>32239.5</v>
      </c>
      <c r="D194" s="31">
        <v>3084892.5</v>
      </c>
      <c r="E194" s="32">
        <v>21</v>
      </c>
      <c r="F194" s="32">
        <v>1891</v>
      </c>
      <c r="G194" s="32">
        <v>1709</v>
      </c>
      <c r="H194" s="33">
        <f t="shared" si="4"/>
        <v>146899.642857143</v>
      </c>
      <c r="I194" s="37">
        <f t="shared" si="5"/>
        <v>19</v>
      </c>
    </row>
    <row r="195" ht="14.25" customHeight="1" spans="1:9">
      <c r="A195" s="34">
        <v>43955</v>
      </c>
      <c r="B195" s="35" t="s">
        <v>17</v>
      </c>
      <c r="C195" s="35">
        <v>30780</v>
      </c>
      <c r="D195" s="35">
        <v>2817853.5</v>
      </c>
      <c r="E195" s="32">
        <v>20</v>
      </c>
      <c r="F195" s="32">
        <v>1804</v>
      </c>
      <c r="G195" s="32">
        <v>1638</v>
      </c>
      <c r="H195" s="33">
        <f t="shared" ref="H195:H258" si="6">D195/E195</f>
        <v>140892.675</v>
      </c>
      <c r="I195" s="37">
        <f t="shared" ref="I195:I258" si="7">WEEKNUM(A195,2)</f>
        <v>19</v>
      </c>
    </row>
    <row r="196" ht="14.25" customHeight="1" spans="1:9">
      <c r="A196" s="30">
        <v>43950</v>
      </c>
      <c r="B196" s="31" t="s">
        <v>17</v>
      </c>
      <c r="C196" s="31">
        <v>29142</v>
      </c>
      <c r="D196" s="31">
        <v>2627595</v>
      </c>
      <c r="E196" s="32">
        <v>19</v>
      </c>
      <c r="F196" s="32">
        <v>1676</v>
      </c>
      <c r="G196" s="32">
        <v>1516</v>
      </c>
      <c r="H196" s="33">
        <f t="shared" si="6"/>
        <v>138294.473684211</v>
      </c>
      <c r="I196" s="37">
        <f t="shared" si="7"/>
        <v>18</v>
      </c>
    </row>
    <row r="197" ht="14.25" customHeight="1" spans="1:9">
      <c r="A197" s="34">
        <v>43953</v>
      </c>
      <c r="B197" s="35" t="s">
        <v>17</v>
      </c>
      <c r="C197" s="35">
        <v>26428.5</v>
      </c>
      <c r="D197" s="35">
        <v>2470465.5</v>
      </c>
      <c r="E197" s="32">
        <v>20</v>
      </c>
      <c r="F197" s="32">
        <v>1613</v>
      </c>
      <c r="G197" s="32">
        <v>1457</v>
      </c>
      <c r="H197" s="33">
        <f t="shared" si="6"/>
        <v>123523.275</v>
      </c>
      <c r="I197" s="37">
        <f t="shared" si="7"/>
        <v>18</v>
      </c>
    </row>
    <row r="198" ht="14.25" customHeight="1" spans="1:9">
      <c r="A198" s="30">
        <v>43977</v>
      </c>
      <c r="B198" s="31" t="s">
        <v>17</v>
      </c>
      <c r="C198" s="31">
        <v>40744.5</v>
      </c>
      <c r="D198" s="31">
        <v>3700311</v>
      </c>
      <c r="E198" s="32">
        <v>21</v>
      </c>
      <c r="F198" s="32">
        <v>2418</v>
      </c>
      <c r="G198" s="32">
        <v>2215</v>
      </c>
      <c r="H198" s="33">
        <f t="shared" si="6"/>
        <v>176205.285714286</v>
      </c>
      <c r="I198" s="37">
        <f t="shared" si="7"/>
        <v>22</v>
      </c>
    </row>
    <row r="199" ht="14.25" customHeight="1" spans="1:9">
      <c r="A199" s="34">
        <v>43952</v>
      </c>
      <c r="B199" s="35" t="s">
        <v>17</v>
      </c>
      <c r="C199" s="35">
        <v>46620</v>
      </c>
      <c r="D199" s="35">
        <v>4293241.5</v>
      </c>
      <c r="E199" s="32">
        <v>20</v>
      </c>
      <c r="F199" s="32">
        <v>2468</v>
      </c>
      <c r="G199" s="32">
        <v>2221</v>
      </c>
      <c r="H199" s="33">
        <f t="shared" si="6"/>
        <v>214662.075</v>
      </c>
      <c r="I199" s="37">
        <f t="shared" si="7"/>
        <v>18</v>
      </c>
    </row>
    <row r="200" ht="14.25" customHeight="1" spans="1:9">
      <c r="A200" s="30">
        <v>43963</v>
      </c>
      <c r="B200" s="31" t="s">
        <v>17</v>
      </c>
      <c r="C200" s="31">
        <v>32419.5</v>
      </c>
      <c r="D200" s="31">
        <v>3080614.5</v>
      </c>
      <c r="E200" s="32">
        <v>21</v>
      </c>
      <c r="F200" s="32">
        <v>1926</v>
      </c>
      <c r="G200" s="32">
        <v>1745</v>
      </c>
      <c r="H200" s="33">
        <f t="shared" si="6"/>
        <v>146695.928571429</v>
      </c>
      <c r="I200" s="37">
        <f t="shared" si="7"/>
        <v>20</v>
      </c>
    </row>
    <row r="201" ht="14.25" customHeight="1" spans="1:9">
      <c r="A201" s="34">
        <v>43972</v>
      </c>
      <c r="B201" s="35" t="s">
        <v>17</v>
      </c>
      <c r="C201" s="35">
        <v>40819.5</v>
      </c>
      <c r="D201" s="35">
        <v>3810394.5</v>
      </c>
      <c r="E201" s="32">
        <v>21</v>
      </c>
      <c r="F201" s="32">
        <v>2335</v>
      </c>
      <c r="G201" s="32">
        <v>2126</v>
      </c>
      <c r="H201" s="33">
        <f t="shared" si="6"/>
        <v>181447.357142857</v>
      </c>
      <c r="I201" s="37">
        <f t="shared" si="7"/>
        <v>21</v>
      </c>
    </row>
    <row r="202" ht="14.25" customHeight="1" spans="1:9">
      <c r="A202" s="30">
        <v>43971</v>
      </c>
      <c r="B202" s="31" t="s">
        <v>17</v>
      </c>
      <c r="C202" s="31">
        <v>41391</v>
      </c>
      <c r="D202" s="31">
        <v>3918987</v>
      </c>
      <c r="E202" s="32">
        <v>21</v>
      </c>
      <c r="F202" s="32">
        <v>2410</v>
      </c>
      <c r="G202" s="32">
        <v>2202</v>
      </c>
      <c r="H202" s="33">
        <f t="shared" si="6"/>
        <v>186618.428571429</v>
      </c>
      <c r="I202" s="37">
        <f t="shared" si="7"/>
        <v>21</v>
      </c>
    </row>
    <row r="203" ht="14.25" customHeight="1" spans="1:9">
      <c r="A203" s="34">
        <v>43956</v>
      </c>
      <c r="B203" s="35" t="s">
        <v>17</v>
      </c>
      <c r="C203" s="35">
        <v>29482.5</v>
      </c>
      <c r="D203" s="35">
        <v>2648688</v>
      </c>
      <c r="E203" s="32">
        <v>20</v>
      </c>
      <c r="F203" s="32">
        <v>1757</v>
      </c>
      <c r="G203" s="32">
        <v>1596</v>
      </c>
      <c r="H203" s="33">
        <f t="shared" si="6"/>
        <v>132434.4</v>
      </c>
      <c r="I203" s="37">
        <f t="shared" si="7"/>
        <v>19</v>
      </c>
    </row>
    <row r="204" ht="14.25" customHeight="1" spans="1:9">
      <c r="A204" s="30">
        <v>43949</v>
      </c>
      <c r="B204" s="31" t="s">
        <v>17</v>
      </c>
      <c r="C204" s="31">
        <v>32181</v>
      </c>
      <c r="D204" s="31">
        <v>2863600.5</v>
      </c>
      <c r="E204" s="32">
        <v>19</v>
      </c>
      <c r="F204" s="32">
        <v>1846</v>
      </c>
      <c r="G204" s="32">
        <v>1681</v>
      </c>
      <c r="H204" s="33">
        <f t="shared" si="6"/>
        <v>150715.815789474</v>
      </c>
      <c r="I204" s="37">
        <f t="shared" si="7"/>
        <v>18</v>
      </c>
    </row>
    <row r="205" ht="14.25" customHeight="1" spans="1:9">
      <c r="A205" s="34">
        <v>43964</v>
      </c>
      <c r="B205" s="35" t="s">
        <v>17</v>
      </c>
      <c r="C205" s="35">
        <v>35535</v>
      </c>
      <c r="D205" s="35">
        <v>3288069</v>
      </c>
      <c r="E205" s="32">
        <v>21</v>
      </c>
      <c r="F205" s="32">
        <v>2061</v>
      </c>
      <c r="G205" s="32">
        <v>1876</v>
      </c>
      <c r="H205" s="33">
        <f t="shared" si="6"/>
        <v>156574.714285714</v>
      </c>
      <c r="I205" s="37">
        <f t="shared" si="7"/>
        <v>20</v>
      </c>
    </row>
    <row r="206" ht="14.25" customHeight="1" spans="1:9">
      <c r="A206" s="30">
        <v>43982</v>
      </c>
      <c r="B206" s="31" t="s">
        <v>16</v>
      </c>
      <c r="C206" s="31">
        <v>76234.5</v>
      </c>
      <c r="D206" s="31">
        <v>6500848.5</v>
      </c>
      <c r="E206" s="32">
        <v>37</v>
      </c>
      <c r="F206" s="32">
        <v>5215</v>
      </c>
      <c r="G206" s="32">
        <v>4848</v>
      </c>
      <c r="H206" s="33">
        <f t="shared" si="6"/>
        <v>175698.608108108</v>
      </c>
      <c r="I206" s="37">
        <f t="shared" si="7"/>
        <v>22</v>
      </c>
    </row>
    <row r="207" ht="14.25" customHeight="1" spans="1:9">
      <c r="A207" s="34">
        <v>43954</v>
      </c>
      <c r="B207" s="35" t="s">
        <v>17</v>
      </c>
      <c r="C207" s="35">
        <v>29935.5</v>
      </c>
      <c r="D207" s="35">
        <v>2720002.5</v>
      </c>
      <c r="E207" s="32">
        <v>20</v>
      </c>
      <c r="F207" s="32">
        <v>1716</v>
      </c>
      <c r="G207" s="32">
        <v>1561</v>
      </c>
      <c r="H207" s="33">
        <f t="shared" si="6"/>
        <v>136000.125</v>
      </c>
      <c r="I207" s="37">
        <f t="shared" si="7"/>
        <v>18</v>
      </c>
    </row>
    <row r="208" ht="14.25" customHeight="1" spans="1:9">
      <c r="A208" s="30">
        <v>43981</v>
      </c>
      <c r="B208" s="31" t="s">
        <v>16</v>
      </c>
      <c r="C208" s="31">
        <v>106926</v>
      </c>
      <c r="D208" s="31">
        <v>9098386.5</v>
      </c>
      <c r="E208" s="32">
        <v>37</v>
      </c>
      <c r="F208" s="32">
        <v>6645</v>
      </c>
      <c r="G208" s="32">
        <v>6122</v>
      </c>
      <c r="H208" s="33">
        <f t="shared" si="6"/>
        <v>245902.337837838</v>
      </c>
      <c r="I208" s="37">
        <f t="shared" si="7"/>
        <v>22</v>
      </c>
    </row>
    <row r="209" ht="14.25" customHeight="1" spans="1:9">
      <c r="A209" s="34">
        <v>43957</v>
      </c>
      <c r="B209" s="35" t="s">
        <v>17</v>
      </c>
      <c r="C209" s="35">
        <v>30342</v>
      </c>
      <c r="D209" s="35">
        <v>2738127</v>
      </c>
      <c r="E209" s="32">
        <v>20</v>
      </c>
      <c r="F209" s="32">
        <v>1747</v>
      </c>
      <c r="G209" s="32">
        <v>1570</v>
      </c>
      <c r="H209" s="33">
        <f t="shared" si="6"/>
        <v>136906.35</v>
      </c>
      <c r="I209" s="37">
        <f t="shared" si="7"/>
        <v>19</v>
      </c>
    </row>
    <row r="210" ht="14.25" customHeight="1" spans="1:9">
      <c r="A210" s="30">
        <v>43974</v>
      </c>
      <c r="B210" s="31" t="s">
        <v>17</v>
      </c>
      <c r="C210" s="31">
        <v>42999</v>
      </c>
      <c r="D210" s="31">
        <v>3883215</v>
      </c>
      <c r="E210" s="32">
        <v>21</v>
      </c>
      <c r="F210" s="32">
        <v>2460</v>
      </c>
      <c r="G210" s="32">
        <v>2226</v>
      </c>
      <c r="H210" s="33">
        <f t="shared" si="6"/>
        <v>184915</v>
      </c>
      <c r="I210" s="37">
        <f t="shared" si="7"/>
        <v>21</v>
      </c>
    </row>
    <row r="211" ht="14.25" customHeight="1" spans="1:9">
      <c r="A211" s="34">
        <v>43979</v>
      </c>
      <c r="B211" s="35" t="s">
        <v>16</v>
      </c>
      <c r="C211" s="35">
        <v>69945</v>
      </c>
      <c r="D211" s="35">
        <v>6101931</v>
      </c>
      <c r="E211" s="32">
        <v>37</v>
      </c>
      <c r="F211" s="32">
        <v>4840</v>
      </c>
      <c r="G211" s="32">
        <v>4475</v>
      </c>
      <c r="H211" s="33">
        <f t="shared" si="6"/>
        <v>164917.054054054</v>
      </c>
      <c r="I211" s="37">
        <f t="shared" si="7"/>
        <v>22</v>
      </c>
    </row>
    <row r="212" ht="14.25" customHeight="1" spans="1:9">
      <c r="A212" s="30">
        <v>43976</v>
      </c>
      <c r="B212" s="31" t="s">
        <v>17</v>
      </c>
      <c r="C212" s="31">
        <v>38740.5</v>
      </c>
      <c r="D212" s="31">
        <v>3561655.5</v>
      </c>
      <c r="E212" s="32">
        <v>21</v>
      </c>
      <c r="F212" s="32">
        <v>2330</v>
      </c>
      <c r="G212" s="32">
        <v>2142</v>
      </c>
      <c r="H212" s="33">
        <f t="shared" si="6"/>
        <v>169602.642857143</v>
      </c>
      <c r="I212" s="37">
        <f t="shared" si="7"/>
        <v>22</v>
      </c>
    </row>
    <row r="213" ht="14.25" customHeight="1" spans="1:9">
      <c r="A213" s="34">
        <v>43951</v>
      </c>
      <c r="B213" s="35" t="s">
        <v>17</v>
      </c>
      <c r="C213" s="35">
        <v>31231.5</v>
      </c>
      <c r="D213" s="35">
        <v>2853310.5</v>
      </c>
      <c r="E213" s="32">
        <v>20</v>
      </c>
      <c r="F213" s="32">
        <v>1756</v>
      </c>
      <c r="G213" s="32">
        <v>1586</v>
      </c>
      <c r="H213" s="33">
        <f t="shared" si="6"/>
        <v>142665.525</v>
      </c>
      <c r="I213" s="37">
        <f t="shared" si="7"/>
        <v>18</v>
      </c>
    </row>
    <row r="214" ht="14.25" customHeight="1" spans="1:9">
      <c r="A214" s="30">
        <v>43961</v>
      </c>
      <c r="B214" s="31" t="s">
        <v>17</v>
      </c>
      <c r="C214" s="31">
        <v>37489.5</v>
      </c>
      <c r="D214" s="31">
        <v>3549097.5</v>
      </c>
      <c r="E214" s="32">
        <v>21</v>
      </c>
      <c r="F214" s="32">
        <v>2120</v>
      </c>
      <c r="G214" s="32">
        <v>1921</v>
      </c>
      <c r="H214" s="33">
        <f t="shared" si="6"/>
        <v>169004.642857143</v>
      </c>
      <c r="I214" s="37">
        <f t="shared" si="7"/>
        <v>19</v>
      </c>
    </row>
    <row r="215" ht="14.25" customHeight="1" spans="1:9">
      <c r="A215" s="34">
        <v>43959</v>
      </c>
      <c r="B215" s="35" t="s">
        <v>17</v>
      </c>
      <c r="C215" s="35">
        <v>34399.5</v>
      </c>
      <c r="D215" s="35">
        <v>3201358.5</v>
      </c>
      <c r="E215" s="32">
        <v>21</v>
      </c>
      <c r="F215" s="32">
        <v>1957</v>
      </c>
      <c r="G215" s="32">
        <v>1755</v>
      </c>
      <c r="H215" s="33">
        <f t="shared" si="6"/>
        <v>152445.642857143</v>
      </c>
      <c r="I215" s="37">
        <f t="shared" si="7"/>
        <v>19</v>
      </c>
    </row>
    <row r="216" ht="14.25" customHeight="1" spans="1:9">
      <c r="A216" s="30">
        <v>43958</v>
      </c>
      <c r="B216" s="31" t="s">
        <v>17</v>
      </c>
      <c r="C216" s="31">
        <v>32851.5</v>
      </c>
      <c r="D216" s="31">
        <v>2934504</v>
      </c>
      <c r="E216" s="32">
        <v>21</v>
      </c>
      <c r="F216" s="32">
        <v>1879</v>
      </c>
      <c r="G216" s="32">
        <v>1695</v>
      </c>
      <c r="H216" s="33">
        <f t="shared" si="6"/>
        <v>139738.285714286</v>
      </c>
      <c r="I216" s="37">
        <f t="shared" si="7"/>
        <v>19</v>
      </c>
    </row>
    <row r="217" ht="14.25" customHeight="1" spans="1:9">
      <c r="A217" s="34">
        <v>43975</v>
      </c>
      <c r="B217" s="35" t="s">
        <v>17</v>
      </c>
      <c r="C217" s="35">
        <v>38194.5</v>
      </c>
      <c r="D217" s="35">
        <v>3449302.5</v>
      </c>
      <c r="E217" s="32">
        <v>21</v>
      </c>
      <c r="F217" s="32">
        <v>2254</v>
      </c>
      <c r="G217" s="32">
        <v>2061</v>
      </c>
      <c r="H217" s="33">
        <f t="shared" si="6"/>
        <v>164252.5</v>
      </c>
      <c r="I217" s="37">
        <f t="shared" si="7"/>
        <v>21</v>
      </c>
    </row>
    <row r="218" ht="14.25" customHeight="1" spans="1:9">
      <c r="A218" s="30">
        <v>43982</v>
      </c>
      <c r="B218" s="31" t="s">
        <v>17</v>
      </c>
      <c r="C218" s="31">
        <v>42423</v>
      </c>
      <c r="D218" s="31">
        <v>3994153.5</v>
      </c>
      <c r="E218" s="32">
        <v>23</v>
      </c>
      <c r="F218" s="32">
        <v>2522</v>
      </c>
      <c r="G218" s="32">
        <v>2295</v>
      </c>
      <c r="H218" s="33">
        <f t="shared" si="6"/>
        <v>173658.847826087</v>
      </c>
      <c r="I218" s="37">
        <f t="shared" si="7"/>
        <v>22</v>
      </c>
    </row>
    <row r="219" ht="14.25" customHeight="1" spans="1:9">
      <c r="A219" s="34">
        <v>43981</v>
      </c>
      <c r="B219" s="35" t="s">
        <v>17</v>
      </c>
      <c r="C219" s="35">
        <v>48286.5</v>
      </c>
      <c r="D219" s="35">
        <v>4456441.5</v>
      </c>
      <c r="E219" s="32">
        <v>22</v>
      </c>
      <c r="F219" s="32">
        <v>2793</v>
      </c>
      <c r="G219" s="32">
        <v>2539</v>
      </c>
      <c r="H219" s="33">
        <f t="shared" si="6"/>
        <v>202565.522727273</v>
      </c>
      <c r="I219" s="37">
        <f t="shared" si="7"/>
        <v>22</v>
      </c>
    </row>
    <row r="220" ht="14.25" customHeight="1" spans="1:9">
      <c r="A220" s="30">
        <v>43979</v>
      </c>
      <c r="B220" s="31" t="s">
        <v>17</v>
      </c>
      <c r="C220" s="31">
        <v>41442</v>
      </c>
      <c r="D220" s="31">
        <v>3893680.5</v>
      </c>
      <c r="E220" s="32">
        <v>22</v>
      </c>
      <c r="F220" s="32">
        <v>2454</v>
      </c>
      <c r="G220" s="32">
        <v>2239</v>
      </c>
      <c r="H220" s="33">
        <f t="shared" si="6"/>
        <v>176985.477272727</v>
      </c>
      <c r="I220" s="37">
        <f t="shared" si="7"/>
        <v>22</v>
      </c>
    </row>
    <row r="221" ht="14.25" customHeight="1" spans="1:9">
      <c r="A221" s="34">
        <v>43967</v>
      </c>
      <c r="B221" s="35" t="s">
        <v>18</v>
      </c>
      <c r="C221" s="35">
        <v>18600</v>
      </c>
      <c r="D221" s="35">
        <v>1601425.5</v>
      </c>
      <c r="E221" s="32">
        <v>15</v>
      </c>
      <c r="F221" s="32">
        <v>1111</v>
      </c>
      <c r="G221" s="32">
        <v>992</v>
      </c>
      <c r="H221" s="33">
        <f t="shared" si="6"/>
        <v>106761.7</v>
      </c>
      <c r="I221" s="37">
        <f t="shared" si="7"/>
        <v>20</v>
      </c>
    </row>
    <row r="222" ht="14.25" customHeight="1" spans="1:9">
      <c r="A222" s="30">
        <v>43970</v>
      </c>
      <c r="B222" s="31" t="s">
        <v>18</v>
      </c>
      <c r="C222" s="31">
        <v>16638</v>
      </c>
      <c r="D222" s="31">
        <v>1364847</v>
      </c>
      <c r="E222" s="32">
        <v>16</v>
      </c>
      <c r="F222" s="32">
        <v>1012</v>
      </c>
      <c r="G222" s="32">
        <v>900</v>
      </c>
      <c r="H222" s="33">
        <f t="shared" si="6"/>
        <v>85302.9375</v>
      </c>
      <c r="I222" s="37">
        <f t="shared" si="7"/>
        <v>21</v>
      </c>
    </row>
    <row r="223" ht="14.25" customHeight="1" spans="1:9">
      <c r="A223" s="34">
        <v>43968</v>
      </c>
      <c r="B223" s="35" t="s">
        <v>18</v>
      </c>
      <c r="C223" s="35">
        <v>15609</v>
      </c>
      <c r="D223" s="35">
        <v>1377577.5</v>
      </c>
      <c r="E223" s="32">
        <v>15</v>
      </c>
      <c r="F223" s="32">
        <v>971</v>
      </c>
      <c r="G223" s="32">
        <v>856</v>
      </c>
      <c r="H223" s="33">
        <f t="shared" si="6"/>
        <v>91838.5</v>
      </c>
      <c r="I223" s="37">
        <f t="shared" si="7"/>
        <v>20</v>
      </c>
    </row>
    <row r="224" ht="14.25" customHeight="1" spans="1:9">
      <c r="A224" s="30">
        <v>43960</v>
      </c>
      <c r="B224" s="31" t="s">
        <v>18</v>
      </c>
      <c r="C224" s="31">
        <v>13948.5</v>
      </c>
      <c r="D224" s="31">
        <v>1222932</v>
      </c>
      <c r="E224" s="32">
        <v>15</v>
      </c>
      <c r="F224" s="32">
        <v>849</v>
      </c>
      <c r="G224" s="32">
        <v>740</v>
      </c>
      <c r="H224" s="33">
        <f t="shared" si="6"/>
        <v>81528.8</v>
      </c>
      <c r="I224" s="37">
        <f t="shared" si="7"/>
        <v>19</v>
      </c>
    </row>
    <row r="225" ht="14.25" customHeight="1" spans="1:9">
      <c r="A225" s="34">
        <v>43955</v>
      </c>
      <c r="B225" s="35" t="s">
        <v>18</v>
      </c>
      <c r="C225" s="35">
        <v>12301.5</v>
      </c>
      <c r="D225" s="35">
        <v>1085211</v>
      </c>
      <c r="E225" s="32">
        <v>15</v>
      </c>
      <c r="F225" s="32">
        <v>750</v>
      </c>
      <c r="G225" s="32">
        <v>647</v>
      </c>
      <c r="H225" s="33">
        <f t="shared" si="6"/>
        <v>72347.4</v>
      </c>
      <c r="I225" s="37">
        <f t="shared" si="7"/>
        <v>19</v>
      </c>
    </row>
    <row r="226" ht="14.25" customHeight="1" spans="1:9">
      <c r="A226" s="30">
        <v>43950</v>
      </c>
      <c r="B226" s="31" t="s">
        <v>18</v>
      </c>
      <c r="C226" s="31">
        <v>13014</v>
      </c>
      <c r="D226" s="31">
        <v>1115992.5</v>
      </c>
      <c r="E226" s="32">
        <v>15</v>
      </c>
      <c r="F226" s="32">
        <v>786</v>
      </c>
      <c r="G226" s="32">
        <v>695</v>
      </c>
      <c r="H226" s="33">
        <f t="shared" si="6"/>
        <v>74399.5</v>
      </c>
      <c r="I226" s="37">
        <f t="shared" si="7"/>
        <v>18</v>
      </c>
    </row>
    <row r="227" ht="14.25" customHeight="1" spans="1:9">
      <c r="A227" s="34">
        <v>43953</v>
      </c>
      <c r="B227" s="35" t="s">
        <v>18</v>
      </c>
      <c r="C227" s="35">
        <v>12313.5</v>
      </c>
      <c r="D227" s="35">
        <v>1053220.5</v>
      </c>
      <c r="E227" s="32">
        <v>15</v>
      </c>
      <c r="F227" s="32">
        <v>751</v>
      </c>
      <c r="G227" s="32">
        <v>651</v>
      </c>
      <c r="H227" s="33">
        <f t="shared" si="6"/>
        <v>70214.7</v>
      </c>
      <c r="I227" s="37">
        <f t="shared" si="7"/>
        <v>18</v>
      </c>
    </row>
    <row r="228" ht="14.25" customHeight="1" spans="1:9">
      <c r="A228" s="30">
        <v>43977</v>
      </c>
      <c r="B228" s="31" t="s">
        <v>18</v>
      </c>
      <c r="C228" s="31">
        <v>17391</v>
      </c>
      <c r="D228" s="31">
        <v>1489132.5</v>
      </c>
      <c r="E228" s="32">
        <v>17</v>
      </c>
      <c r="F228" s="32">
        <v>1140</v>
      </c>
      <c r="G228" s="32">
        <v>1016</v>
      </c>
      <c r="H228" s="33">
        <f t="shared" si="6"/>
        <v>87596.0294117647</v>
      </c>
      <c r="I228" s="37">
        <f t="shared" si="7"/>
        <v>22</v>
      </c>
    </row>
    <row r="229" ht="14.25" customHeight="1" spans="1:9">
      <c r="A229" s="34">
        <v>43952</v>
      </c>
      <c r="B229" s="35" t="s">
        <v>18</v>
      </c>
      <c r="C229" s="35">
        <v>17113.5</v>
      </c>
      <c r="D229" s="35">
        <v>1465842</v>
      </c>
      <c r="E229" s="32">
        <v>15</v>
      </c>
      <c r="F229" s="32">
        <v>996</v>
      </c>
      <c r="G229" s="32">
        <v>888</v>
      </c>
      <c r="H229" s="33">
        <f t="shared" si="6"/>
        <v>97722.8</v>
      </c>
      <c r="I229" s="37">
        <f t="shared" si="7"/>
        <v>18</v>
      </c>
    </row>
    <row r="230" ht="14.25" customHeight="1" spans="1:9">
      <c r="A230" s="30">
        <v>43963</v>
      </c>
      <c r="B230" s="31" t="s">
        <v>18</v>
      </c>
      <c r="C230" s="31">
        <v>12802.5</v>
      </c>
      <c r="D230" s="31">
        <v>1123830</v>
      </c>
      <c r="E230" s="32">
        <v>15</v>
      </c>
      <c r="F230" s="32">
        <v>845</v>
      </c>
      <c r="G230" s="32">
        <v>743</v>
      </c>
      <c r="H230" s="33">
        <f t="shared" si="6"/>
        <v>74922</v>
      </c>
      <c r="I230" s="37">
        <f t="shared" si="7"/>
        <v>20</v>
      </c>
    </row>
    <row r="231" ht="14.25" customHeight="1" spans="1:9">
      <c r="A231" s="34">
        <v>43972</v>
      </c>
      <c r="B231" s="35" t="s">
        <v>18</v>
      </c>
      <c r="C231" s="35">
        <v>16554</v>
      </c>
      <c r="D231" s="35">
        <v>1380751.5</v>
      </c>
      <c r="E231" s="32">
        <v>17</v>
      </c>
      <c r="F231" s="32">
        <v>1045</v>
      </c>
      <c r="G231" s="32">
        <v>930</v>
      </c>
      <c r="H231" s="33">
        <f t="shared" si="6"/>
        <v>81220.6764705882</v>
      </c>
      <c r="I231" s="37">
        <f t="shared" si="7"/>
        <v>21</v>
      </c>
    </row>
    <row r="232" ht="14.25" customHeight="1" spans="1:9">
      <c r="A232" s="30">
        <v>43971</v>
      </c>
      <c r="B232" s="31" t="s">
        <v>18</v>
      </c>
      <c r="C232" s="31">
        <v>17329.5</v>
      </c>
      <c r="D232" s="31">
        <v>1430254.5</v>
      </c>
      <c r="E232" s="32">
        <v>16</v>
      </c>
      <c r="F232" s="32">
        <v>1050</v>
      </c>
      <c r="G232" s="32">
        <v>938</v>
      </c>
      <c r="H232" s="33">
        <f t="shared" si="6"/>
        <v>89390.90625</v>
      </c>
      <c r="I232" s="37">
        <f t="shared" si="7"/>
        <v>21</v>
      </c>
    </row>
    <row r="233" ht="14.25" customHeight="1" spans="1:9">
      <c r="A233" s="34">
        <v>43956</v>
      </c>
      <c r="B233" s="35" t="s">
        <v>18</v>
      </c>
      <c r="C233" s="35">
        <v>15987</v>
      </c>
      <c r="D233" s="35">
        <v>1384179</v>
      </c>
      <c r="E233" s="32">
        <v>15</v>
      </c>
      <c r="F233" s="32">
        <v>922</v>
      </c>
      <c r="G233" s="32">
        <v>823</v>
      </c>
      <c r="H233" s="33">
        <f t="shared" si="6"/>
        <v>92278.6</v>
      </c>
      <c r="I233" s="37">
        <f t="shared" si="7"/>
        <v>19</v>
      </c>
    </row>
    <row r="234" ht="14.25" customHeight="1" spans="1:9">
      <c r="A234" s="30">
        <v>43949</v>
      </c>
      <c r="B234" s="31" t="s">
        <v>18</v>
      </c>
      <c r="C234" s="31">
        <v>13303.5</v>
      </c>
      <c r="D234" s="31">
        <v>1102887</v>
      </c>
      <c r="E234" s="32">
        <v>15</v>
      </c>
      <c r="F234" s="32">
        <v>780</v>
      </c>
      <c r="G234" s="32">
        <v>690</v>
      </c>
      <c r="H234" s="33">
        <f t="shared" si="6"/>
        <v>73525.8</v>
      </c>
      <c r="I234" s="37">
        <f t="shared" si="7"/>
        <v>18</v>
      </c>
    </row>
    <row r="235" ht="14.25" customHeight="1" spans="1:9">
      <c r="A235" s="34">
        <v>43964</v>
      </c>
      <c r="B235" s="35" t="s">
        <v>18</v>
      </c>
      <c r="C235" s="35">
        <v>14305.5</v>
      </c>
      <c r="D235" s="35">
        <v>1243507.5</v>
      </c>
      <c r="E235" s="32">
        <v>15</v>
      </c>
      <c r="F235" s="32">
        <v>898</v>
      </c>
      <c r="G235" s="32">
        <v>795</v>
      </c>
      <c r="H235" s="33">
        <f t="shared" si="6"/>
        <v>82900.5</v>
      </c>
      <c r="I235" s="37">
        <f t="shared" si="7"/>
        <v>20</v>
      </c>
    </row>
    <row r="236" ht="14.25" customHeight="1" spans="1:9">
      <c r="A236" s="30">
        <v>43954</v>
      </c>
      <c r="B236" s="31" t="s">
        <v>18</v>
      </c>
      <c r="C236" s="31">
        <v>12924</v>
      </c>
      <c r="D236" s="31">
        <v>1120009.5</v>
      </c>
      <c r="E236" s="32">
        <v>15</v>
      </c>
      <c r="F236" s="32">
        <v>784</v>
      </c>
      <c r="G236" s="32">
        <v>696</v>
      </c>
      <c r="H236" s="33">
        <f t="shared" si="6"/>
        <v>74667.3</v>
      </c>
      <c r="I236" s="37">
        <f t="shared" si="7"/>
        <v>18</v>
      </c>
    </row>
    <row r="237" ht="14.25" customHeight="1" spans="1:9">
      <c r="A237" s="34">
        <v>43957</v>
      </c>
      <c r="B237" s="35" t="s">
        <v>18</v>
      </c>
      <c r="C237" s="35">
        <v>14061</v>
      </c>
      <c r="D237" s="35">
        <v>1221057</v>
      </c>
      <c r="E237" s="32">
        <v>15</v>
      </c>
      <c r="F237" s="32">
        <v>839</v>
      </c>
      <c r="G237" s="32">
        <v>733</v>
      </c>
      <c r="H237" s="33">
        <f t="shared" si="6"/>
        <v>81403.8</v>
      </c>
      <c r="I237" s="37">
        <f t="shared" si="7"/>
        <v>19</v>
      </c>
    </row>
    <row r="238" ht="14.25" customHeight="1" spans="1:9">
      <c r="A238" s="30">
        <v>43974</v>
      </c>
      <c r="B238" s="31" t="s">
        <v>18</v>
      </c>
      <c r="C238" s="31">
        <v>21958.5</v>
      </c>
      <c r="D238" s="31">
        <v>1854001.5</v>
      </c>
      <c r="E238" s="32">
        <v>17</v>
      </c>
      <c r="F238" s="32">
        <v>1294</v>
      </c>
      <c r="G238" s="32">
        <v>1155</v>
      </c>
      <c r="H238" s="33">
        <f t="shared" si="6"/>
        <v>109058.911764706</v>
      </c>
      <c r="I238" s="37">
        <f t="shared" si="7"/>
        <v>21</v>
      </c>
    </row>
    <row r="239" ht="14.25" customHeight="1" spans="1:9">
      <c r="A239" s="34">
        <v>43976</v>
      </c>
      <c r="B239" s="35" t="s">
        <v>18</v>
      </c>
      <c r="C239" s="35">
        <v>17211</v>
      </c>
      <c r="D239" s="35">
        <v>1507867.5</v>
      </c>
      <c r="E239" s="32">
        <v>17</v>
      </c>
      <c r="F239" s="32">
        <v>1142</v>
      </c>
      <c r="G239" s="32">
        <v>1020</v>
      </c>
      <c r="H239" s="33">
        <f t="shared" si="6"/>
        <v>88698.0882352941</v>
      </c>
      <c r="I239" s="37">
        <f t="shared" si="7"/>
        <v>22</v>
      </c>
    </row>
    <row r="240" ht="14.25" customHeight="1" spans="1:9">
      <c r="A240" s="30">
        <v>43951</v>
      </c>
      <c r="B240" s="31" t="s">
        <v>18</v>
      </c>
      <c r="C240" s="31">
        <v>12753</v>
      </c>
      <c r="D240" s="31">
        <v>1103068.5</v>
      </c>
      <c r="E240" s="32">
        <v>15</v>
      </c>
      <c r="F240" s="32">
        <v>791</v>
      </c>
      <c r="G240" s="32">
        <v>691</v>
      </c>
      <c r="H240" s="33">
        <f t="shared" si="6"/>
        <v>73537.9</v>
      </c>
      <c r="I240" s="37">
        <f t="shared" si="7"/>
        <v>18</v>
      </c>
    </row>
    <row r="241" ht="14.25" customHeight="1" spans="1:9">
      <c r="A241" s="34">
        <v>43961</v>
      </c>
      <c r="B241" s="35" t="s">
        <v>18</v>
      </c>
      <c r="C241" s="35">
        <v>16435.5</v>
      </c>
      <c r="D241" s="35">
        <v>1471537.5</v>
      </c>
      <c r="E241" s="32">
        <v>15</v>
      </c>
      <c r="F241" s="32">
        <v>950</v>
      </c>
      <c r="G241" s="32">
        <v>848</v>
      </c>
      <c r="H241" s="33">
        <f t="shared" si="6"/>
        <v>98102.5</v>
      </c>
      <c r="I241" s="37">
        <f t="shared" si="7"/>
        <v>19</v>
      </c>
    </row>
    <row r="242" ht="14.25" customHeight="1" spans="1:9">
      <c r="A242" s="30">
        <v>43959</v>
      </c>
      <c r="B242" s="31" t="s">
        <v>18</v>
      </c>
      <c r="C242" s="31">
        <v>14494.5</v>
      </c>
      <c r="D242" s="31">
        <v>1269786</v>
      </c>
      <c r="E242" s="32">
        <v>15</v>
      </c>
      <c r="F242" s="32">
        <v>879</v>
      </c>
      <c r="G242" s="32">
        <v>768</v>
      </c>
      <c r="H242" s="33">
        <f t="shared" si="6"/>
        <v>84652.4</v>
      </c>
      <c r="I242" s="37">
        <f t="shared" si="7"/>
        <v>19</v>
      </c>
    </row>
    <row r="243" ht="14.25" customHeight="1" spans="1:9">
      <c r="A243" s="34">
        <v>43958</v>
      </c>
      <c r="B243" s="35" t="s">
        <v>18</v>
      </c>
      <c r="C243" s="35">
        <v>12705</v>
      </c>
      <c r="D243" s="35">
        <v>1123894.5</v>
      </c>
      <c r="E243" s="32">
        <v>15</v>
      </c>
      <c r="F243" s="32">
        <v>805</v>
      </c>
      <c r="G243" s="32">
        <v>703</v>
      </c>
      <c r="H243" s="33">
        <f t="shared" si="6"/>
        <v>74926.3</v>
      </c>
      <c r="I243" s="37">
        <f t="shared" si="7"/>
        <v>19</v>
      </c>
    </row>
    <row r="244" ht="14.25" customHeight="1" spans="1:9">
      <c r="A244" s="30">
        <v>43975</v>
      </c>
      <c r="B244" s="31" t="s">
        <v>18</v>
      </c>
      <c r="C244" s="31">
        <v>18075</v>
      </c>
      <c r="D244" s="31">
        <v>1548099</v>
      </c>
      <c r="E244" s="32">
        <v>17</v>
      </c>
      <c r="F244" s="32">
        <v>1128</v>
      </c>
      <c r="G244" s="32">
        <v>1001</v>
      </c>
      <c r="H244" s="33">
        <f t="shared" si="6"/>
        <v>91064.6470588235</v>
      </c>
      <c r="I244" s="37">
        <f t="shared" si="7"/>
        <v>21</v>
      </c>
    </row>
    <row r="245" ht="14.25" customHeight="1" spans="1:9">
      <c r="A245" s="34">
        <v>43967</v>
      </c>
      <c r="B245" s="35" t="s">
        <v>19</v>
      </c>
      <c r="C245" s="35">
        <v>13120.5</v>
      </c>
      <c r="D245" s="35">
        <v>1215033</v>
      </c>
      <c r="E245" s="32">
        <v>15</v>
      </c>
      <c r="F245" s="32">
        <v>747</v>
      </c>
      <c r="G245" s="32">
        <v>647</v>
      </c>
      <c r="H245" s="33">
        <f t="shared" si="6"/>
        <v>81002.2</v>
      </c>
      <c r="I245" s="37">
        <f t="shared" si="7"/>
        <v>20</v>
      </c>
    </row>
    <row r="246" ht="14.25" customHeight="1" spans="1:9">
      <c r="A246" s="30">
        <v>43970</v>
      </c>
      <c r="B246" s="31" t="s">
        <v>19</v>
      </c>
      <c r="C246" s="31">
        <v>16237.5</v>
      </c>
      <c r="D246" s="31">
        <v>1403047.5</v>
      </c>
      <c r="E246" s="32">
        <v>15</v>
      </c>
      <c r="F246" s="32">
        <v>930</v>
      </c>
      <c r="G246" s="32">
        <v>827</v>
      </c>
      <c r="H246" s="33">
        <f t="shared" si="6"/>
        <v>93536.5</v>
      </c>
      <c r="I246" s="37">
        <f t="shared" si="7"/>
        <v>21</v>
      </c>
    </row>
    <row r="247" ht="14.25" customHeight="1" spans="1:9">
      <c r="A247" s="34">
        <v>43968</v>
      </c>
      <c r="B247" s="35" t="s">
        <v>19</v>
      </c>
      <c r="C247" s="35">
        <v>11967</v>
      </c>
      <c r="D247" s="35">
        <v>1060489.5</v>
      </c>
      <c r="E247" s="32">
        <v>15</v>
      </c>
      <c r="F247" s="32">
        <v>692</v>
      </c>
      <c r="G247" s="32">
        <v>591</v>
      </c>
      <c r="H247" s="33">
        <f t="shared" si="6"/>
        <v>70699.3</v>
      </c>
      <c r="I247" s="37">
        <f t="shared" si="7"/>
        <v>20</v>
      </c>
    </row>
    <row r="248" ht="14.25" customHeight="1" spans="1:9">
      <c r="A248" s="30">
        <v>43960</v>
      </c>
      <c r="B248" s="31" t="s">
        <v>19</v>
      </c>
      <c r="C248" s="31">
        <v>12037.5</v>
      </c>
      <c r="D248" s="31">
        <v>1081216.5</v>
      </c>
      <c r="E248" s="32">
        <v>15</v>
      </c>
      <c r="F248" s="32">
        <v>623</v>
      </c>
      <c r="G248" s="32">
        <v>535</v>
      </c>
      <c r="H248" s="33">
        <f t="shared" si="6"/>
        <v>72081.1</v>
      </c>
      <c r="I248" s="37">
        <f t="shared" si="7"/>
        <v>19</v>
      </c>
    </row>
    <row r="249" ht="14.25" customHeight="1" spans="1:9">
      <c r="A249" s="34">
        <v>43955</v>
      </c>
      <c r="B249" s="35" t="s">
        <v>19</v>
      </c>
      <c r="C249" s="35">
        <v>7087.5</v>
      </c>
      <c r="D249" s="35">
        <v>610855.5</v>
      </c>
      <c r="E249" s="32">
        <v>15</v>
      </c>
      <c r="F249" s="32">
        <v>390</v>
      </c>
      <c r="G249" s="32">
        <v>315</v>
      </c>
      <c r="H249" s="33">
        <f t="shared" si="6"/>
        <v>40723.7</v>
      </c>
      <c r="I249" s="37">
        <f t="shared" si="7"/>
        <v>19</v>
      </c>
    </row>
    <row r="250" ht="14.25" customHeight="1" spans="1:9">
      <c r="A250" s="30">
        <v>43950</v>
      </c>
      <c r="B250" s="31" t="s">
        <v>20</v>
      </c>
      <c r="C250" s="31">
        <v>25816.5</v>
      </c>
      <c r="D250" s="31">
        <v>2360914.5</v>
      </c>
      <c r="E250" s="32">
        <v>18</v>
      </c>
      <c r="F250" s="32">
        <v>1599</v>
      </c>
      <c r="G250" s="32">
        <v>1450</v>
      </c>
      <c r="H250" s="33">
        <f t="shared" si="6"/>
        <v>131161.916666667</v>
      </c>
      <c r="I250" s="37">
        <f t="shared" si="7"/>
        <v>18</v>
      </c>
    </row>
    <row r="251" ht="14.25" customHeight="1" spans="1:9">
      <c r="A251" s="34">
        <v>43953</v>
      </c>
      <c r="B251" s="35" t="s">
        <v>19</v>
      </c>
      <c r="C251" s="35">
        <v>4624.5</v>
      </c>
      <c r="D251" s="35">
        <v>433243.5</v>
      </c>
      <c r="E251" s="32">
        <v>15</v>
      </c>
      <c r="F251" s="32">
        <v>274</v>
      </c>
      <c r="G251" s="32">
        <v>203</v>
      </c>
      <c r="H251" s="33">
        <f t="shared" si="6"/>
        <v>28882.9</v>
      </c>
      <c r="I251" s="37">
        <f t="shared" si="7"/>
        <v>18</v>
      </c>
    </row>
    <row r="252" ht="14.25" customHeight="1" spans="1:9">
      <c r="A252" s="30">
        <v>43977</v>
      </c>
      <c r="B252" s="31" t="s">
        <v>19</v>
      </c>
      <c r="C252" s="31">
        <v>12259.5</v>
      </c>
      <c r="D252" s="31">
        <v>1152054</v>
      </c>
      <c r="E252" s="32">
        <v>15</v>
      </c>
      <c r="F252" s="32">
        <v>812</v>
      </c>
      <c r="G252" s="32">
        <v>711</v>
      </c>
      <c r="H252" s="33">
        <f t="shared" si="6"/>
        <v>76803.6</v>
      </c>
      <c r="I252" s="37">
        <f t="shared" si="7"/>
        <v>22</v>
      </c>
    </row>
    <row r="253" ht="14.25" customHeight="1" spans="1:9">
      <c r="A253" s="34">
        <v>43952</v>
      </c>
      <c r="B253" s="35" t="s">
        <v>19</v>
      </c>
      <c r="C253" s="35">
        <v>5446.5</v>
      </c>
      <c r="D253" s="35">
        <v>505572</v>
      </c>
      <c r="E253" s="32">
        <v>15</v>
      </c>
      <c r="F253" s="32">
        <v>294</v>
      </c>
      <c r="G253" s="32">
        <v>225</v>
      </c>
      <c r="H253" s="33">
        <f t="shared" si="6"/>
        <v>33704.8</v>
      </c>
      <c r="I253" s="37">
        <f t="shared" si="7"/>
        <v>18</v>
      </c>
    </row>
    <row r="254" ht="14.25" customHeight="1" spans="1:9">
      <c r="A254" s="30">
        <v>43963</v>
      </c>
      <c r="B254" s="31" t="s">
        <v>19</v>
      </c>
      <c r="C254" s="31">
        <v>11296.5</v>
      </c>
      <c r="D254" s="31">
        <v>989632.5</v>
      </c>
      <c r="E254" s="32">
        <v>15</v>
      </c>
      <c r="F254" s="32">
        <v>624</v>
      </c>
      <c r="G254" s="32">
        <v>538</v>
      </c>
      <c r="H254" s="33">
        <f t="shared" si="6"/>
        <v>65975.5</v>
      </c>
      <c r="I254" s="37">
        <f t="shared" si="7"/>
        <v>20</v>
      </c>
    </row>
    <row r="255" ht="14.25" customHeight="1" spans="1:9">
      <c r="A255" s="34">
        <v>43972</v>
      </c>
      <c r="B255" s="35" t="s">
        <v>19</v>
      </c>
      <c r="C255" s="35">
        <v>12135</v>
      </c>
      <c r="D255" s="35">
        <v>1103623.5</v>
      </c>
      <c r="E255" s="32">
        <v>15</v>
      </c>
      <c r="F255" s="32">
        <v>749</v>
      </c>
      <c r="G255" s="32">
        <v>652</v>
      </c>
      <c r="H255" s="33">
        <f t="shared" si="6"/>
        <v>73574.9</v>
      </c>
      <c r="I255" s="37">
        <f t="shared" si="7"/>
        <v>21</v>
      </c>
    </row>
    <row r="256" ht="14.25" customHeight="1" spans="1:9">
      <c r="A256" s="30">
        <v>43971</v>
      </c>
      <c r="B256" s="31" t="s">
        <v>19</v>
      </c>
      <c r="C256" s="31">
        <v>12630</v>
      </c>
      <c r="D256" s="31">
        <v>1104858</v>
      </c>
      <c r="E256" s="32">
        <v>15</v>
      </c>
      <c r="F256" s="32">
        <v>760</v>
      </c>
      <c r="G256" s="32">
        <v>664</v>
      </c>
      <c r="H256" s="33">
        <f t="shared" si="6"/>
        <v>73657.2</v>
      </c>
      <c r="I256" s="37">
        <f t="shared" si="7"/>
        <v>21</v>
      </c>
    </row>
    <row r="257" ht="14.25" customHeight="1" spans="1:9">
      <c r="A257" s="34">
        <v>43956</v>
      </c>
      <c r="B257" s="35" t="s">
        <v>19</v>
      </c>
      <c r="C257" s="35">
        <v>8223</v>
      </c>
      <c r="D257" s="35">
        <v>694593</v>
      </c>
      <c r="E257" s="32">
        <v>15</v>
      </c>
      <c r="F257" s="32">
        <v>455</v>
      </c>
      <c r="G257" s="32">
        <v>381</v>
      </c>
      <c r="H257" s="33">
        <f t="shared" si="6"/>
        <v>46306.2</v>
      </c>
      <c r="I257" s="37">
        <f t="shared" si="7"/>
        <v>19</v>
      </c>
    </row>
    <row r="258" ht="14.25" customHeight="1" spans="1:9">
      <c r="A258" s="30">
        <v>43949</v>
      </c>
      <c r="B258" s="31" t="s">
        <v>20</v>
      </c>
      <c r="C258" s="31">
        <v>25149</v>
      </c>
      <c r="D258" s="31">
        <v>2277072</v>
      </c>
      <c r="E258" s="32">
        <v>18</v>
      </c>
      <c r="F258" s="32">
        <v>1505</v>
      </c>
      <c r="G258" s="32">
        <v>1368</v>
      </c>
      <c r="H258" s="33">
        <f t="shared" si="6"/>
        <v>126504</v>
      </c>
      <c r="I258" s="37">
        <f t="shared" si="7"/>
        <v>18</v>
      </c>
    </row>
    <row r="259" ht="14.25" customHeight="1" spans="1:9">
      <c r="A259" s="34">
        <v>43964</v>
      </c>
      <c r="B259" s="35" t="s">
        <v>19</v>
      </c>
      <c r="C259" s="35">
        <v>10401</v>
      </c>
      <c r="D259" s="35">
        <v>949912.5</v>
      </c>
      <c r="E259" s="32">
        <v>15</v>
      </c>
      <c r="F259" s="32">
        <v>599</v>
      </c>
      <c r="G259" s="32">
        <v>515</v>
      </c>
      <c r="H259" s="33">
        <f t="shared" ref="H259:H322" si="8">D259/E259</f>
        <v>63327.5</v>
      </c>
      <c r="I259" s="37">
        <f t="shared" ref="I259:I322" si="9">WEEKNUM(A259,2)</f>
        <v>20</v>
      </c>
    </row>
    <row r="260" ht="14.25" customHeight="1" spans="1:9">
      <c r="A260" s="30">
        <v>43982</v>
      </c>
      <c r="B260" s="31" t="s">
        <v>18</v>
      </c>
      <c r="C260" s="31">
        <v>17689.5</v>
      </c>
      <c r="D260" s="31">
        <v>1592119.5</v>
      </c>
      <c r="E260" s="32">
        <v>17</v>
      </c>
      <c r="F260" s="32">
        <v>1186</v>
      </c>
      <c r="G260" s="32">
        <v>1054</v>
      </c>
      <c r="H260" s="33">
        <f t="shared" si="8"/>
        <v>93654.0882352941</v>
      </c>
      <c r="I260" s="37">
        <f t="shared" si="9"/>
        <v>22</v>
      </c>
    </row>
    <row r="261" ht="14.25" customHeight="1" spans="1:9">
      <c r="A261" s="34">
        <v>43954</v>
      </c>
      <c r="B261" s="35" t="s">
        <v>19</v>
      </c>
      <c r="C261" s="35">
        <v>8127</v>
      </c>
      <c r="D261" s="35">
        <v>665302.5</v>
      </c>
      <c r="E261" s="32">
        <v>15</v>
      </c>
      <c r="F261" s="32">
        <v>455</v>
      </c>
      <c r="G261" s="32">
        <v>384</v>
      </c>
      <c r="H261" s="33">
        <f t="shared" si="8"/>
        <v>44353.5</v>
      </c>
      <c r="I261" s="37">
        <f t="shared" si="9"/>
        <v>18</v>
      </c>
    </row>
    <row r="262" ht="14.25" customHeight="1" spans="1:9">
      <c r="A262" s="30">
        <v>43981</v>
      </c>
      <c r="B262" s="31" t="s">
        <v>18</v>
      </c>
      <c r="C262" s="31">
        <v>27250.5</v>
      </c>
      <c r="D262" s="31">
        <v>2457252</v>
      </c>
      <c r="E262" s="32">
        <v>17</v>
      </c>
      <c r="F262" s="32">
        <v>1697</v>
      </c>
      <c r="G262" s="32">
        <v>1499</v>
      </c>
      <c r="H262" s="33">
        <f t="shared" si="8"/>
        <v>144544.235294118</v>
      </c>
      <c r="I262" s="37">
        <f t="shared" si="9"/>
        <v>22</v>
      </c>
    </row>
    <row r="263" ht="14.25" customHeight="1" spans="1:9">
      <c r="A263" s="34">
        <v>43957</v>
      </c>
      <c r="B263" s="35" t="s">
        <v>19</v>
      </c>
      <c r="C263" s="35">
        <v>8464.5</v>
      </c>
      <c r="D263" s="35">
        <v>739291.5</v>
      </c>
      <c r="E263" s="32">
        <v>15</v>
      </c>
      <c r="F263" s="32">
        <v>467</v>
      </c>
      <c r="G263" s="32">
        <v>389</v>
      </c>
      <c r="H263" s="33">
        <f t="shared" si="8"/>
        <v>49286.1</v>
      </c>
      <c r="I263" s="37">
        <f t="shared" si="9"/>
        <v>19</v>
      </c>
    </row>
    <row r="264" ht="14.25" customHeight="1" spans="1:9">
      <c r="A264" s="30">
        <v>43974</v>
      </c>
      <c r="B264" s="31" t="s">
        <v>19</v>
      </c>
      <c r="C264" s="31">
        <v>14167.5</v>
      </c>
      <c r="D264" s="31">
        <v>1315075.5</v>
      </c>
      <c r="E264" s="32">
        <v>15</v>
      </c>
      <c r="F264" s="32">
        <v>840</v>
      </c>
      <c r="G264" s="32">
        <v>725</v>
      </c>
      <c r="H264" s="33">
        <f t="shared" si="8"/>
        <v>87671.7</v>
      </c>
      <c r="I264" s="37">
        <f t="shared" si="9"/>
        <v>21</v>
      </c>
    </row>
    <row r="265" ht="14.25" customHeight="1" spans="1:9">
      <c r="A265" s="34">
        <v>43979</v>
      </c>
      <c r="B265" s="35" t="s">
        <v>18</v>
      </c>
      <c r="C265" s="35">
        <v>16500</v>
      </c>
      <c r="D265" s="35">
        <v>1487928</v>
      </c>
      <c r="E265" s="32">
        <v>17</v>
      </c>
      <c r="F265" s="32">
        <v>1097</v>
      </c>
      <c r="G265" s="32">
        <v>968</v>
      </c>
      <c r="H265" s="33">
        <f t="shared" si="8"/>
        <v>87525.1764705882</v>
      </c>
      <c r="I265" s="37">
        <f t="shared" si="9"/>
        <v>22</v>
      </c>
    </row>
    <row r="266" ht="14.25" customHeight="1" spans="1:9">
      <c r="A266" s="30">
        <v>43976</v>
      </c>
      <c r="B266" s="31" t="s">
        <v>19</v>
      </c>
      <c r="C266" s="31">
        <v>13260</v>
      </c>
      <c r="D266" s="31">
        <v>1230687</v>
      </c>
      <c r="E266" s="32">
        <v>15</v>
      </c>
      <c r="F266" s="32">
        <v>835</v>
      </c>
      <c r="G266" s="32">
        <v>736</v>
      </c>
      <c r="H266" s="33">
        <f t="shared" si="8"/>
        <v>82045.8</v>
      </c>
      <c r="I266" s="37">
        <f t="shared" si="9"/>
        <v>22</v>
      </c>
    </row>
    <row r="267" ht="14.25" customHeight="1" spans="1:9">
      <c r="A267" s="34">
        <v>43951</v>
      </c>
      <c r="B267" s="35" t="s">
        <v>19</v>
      </c>
      <c r="C267" s="35">
        <v>4285.5</v>
      </c>
      <c r="D267" s="35">
        <v>404691</v>
      </c>
      <c r="E267" s="32">
        <v>15</v>
      </c>
      <c r="F267" s="32">
        <v>262</v>
      </c>
      <c r="G267" s="32">
        <v>195</v>
      </c>
      <c r="H267" s="33">
        <f t="shared" si="8"/>
        <v>26979.4</v>
      </c>
      <c r="I267" s="37">
        <f t="shared" si="9"/>
        <v>18</v>
      </c>
    </row>
    <row r="268" ht="14.25" customHeight="1" spans="1:9">
      <c r="A268" s="30">
        <v>43961</v>
      </c>
      <c r="B268" s="31" t="s">
        <v>19</v>
      </c>
      <c r="C268" s="31">
        <v>13440</v>
      </c>
      <c r="D268" s="31">
        <v>1198285.5</v>
      </c>
      <c r="E268" s="32">
        <v>15</v>
      </c>
      <c r="F268" s="32">
        <v>706</v>
      </c>
      <c r="G268" s="32">
        <v>608</v>
      </c>
      <c r="H268" s="33">
        <f t="shared" si="8"/>
        <v>79885.7</v>
      </c>
      <c r="I268" s="37">
        <f t="shared" si="9"/>
        <v>19</v>
      </c>
    </row>
    <row r="269" ht="14.25" customHeight="1" spans="1:9">
      <c r="A269" s="34">
        <v>43959</v>
      </c>
      <c r="B269" s="35" t="s">
        <v>19</v>
      </c>
      <c r="C269" s="35">
        <v>9058.5</v>
      </c>
      <c r="D269" s="35">
        <v>798759</v>
      </c>
      <c r="E269" s="32">
        <v>15</v>
      </c>
      <c r="F269" s="32">
        <v>492</v>
      </c>
      <c r="G269" s="32">
        <v>412</v>
      </c>
      <c r="H269" s="33">
        <f t="shared" si="8"/>
        <v>53250.6</v>
      </c>
      <c r="I269" s="37">
        <f t="shared" si="9"/>
        <v>19</v>
      </c>
    </row>
    <row r="270" ht="14.25" customHeight="1" spans="1:9">
      <c r="A270" s="30">
        <v>43958</v>
      </c>
      <c r="B270" s="31" t="s">
        <v>19</v>
      </c>
      <c r="C270" s="31">
        <v>8719.5</v>
      </c>
      <c r="D270" s="31">
        <v>769276.5</v>
      </c>
      <c r="E270" s="32">
        <v>15</v>
      </c>
      <c r="F270" s="32">
        <v>480</v>
      </c>
      <c r="G270" s="32">
        <v>398</v>
      </c>
      <c r="H270" s="33">
        <f t="shared" si="8"/>
        <v>51285.1</v>
      </c>
      <c r="I270" s="37">
        <f t="shared" si="9"/>
        <v>19</v>
      </c>
    </row>
    <row r="271" ht="14.25" customHeight="1" spans="1:9">
      <c r="A271" s="34">
        <v>43975</v>
      </c>
      <c r="B271" s="35" t="s">
        <v>19</v>
      </c>
      <c r="C271" s="35">
        <v>12666</v>
      </c>
      <c r="D271" s="35">
        <v>1184865</v>
      </c>
      <c r="E271" s="32">
        <v>15</v>
      </c>
      <c r="F271" s="32">
        <v>779</v>
      </c>
      <c r="G271" s="32">
        <v>673</v>
      </c>
      <c r="H271" s="33">
        <f t="shared" si="8"/>
        <v>78991</v>
      </c>
      <c r="I271" s="37">
        <f t="shared" si="9"/>
        <v>21</v>
      </c>
    </row>
    <row r="272" ht="14.25" customHeight="1" spans="1:9">
      <c r="A272" s="30">
        <v>43967</v>
      </c>
      <c r="B272" s="31" t="s">
        <v>20</v>
      </c>
      <c r="C272" s="31">
        <v>34563</v>
      </c>
      <c r="D272" s="31">
        <v>2922883.5</v>
      </c>
      <c r="E272" s="32">
        <v>19</v>
      </c>
      <c r="F272" s="32">
        <v>2039</v>
      </c>
      <c r="G272" s="32">
        <v>1868</v>
      </c>
      <c r="H272" s="33">
        <f t="shared" si="8"/>
        <v>153835.973684211</v>
      </c>
      <c r="I272" s="37">
        <f t="shared" si="9"/>
        <v>20</v>
      </c>
    </row>
    <row r="273" ht="14.25" customHeight="1" spans="1:9">
      <c r="A273" s="34">
        <v>43970</v>
      </c>
      <c r="B273" s="35" t="s">
        <v>20</v>
      </c>
      <c r="C273" s="35">
        <v>28882.5</v>
      </c>
      <c r="D273" s="35">
        <v>2446530</v>
      </c>
      <c r="E273" s="32">
        <v>19</v>
      </c>
      <c r="F273" s="32">
        <v>1831</v>
      </c>
      <c r="G273" s="32">
        <v>1667</v>
      </c>
      <c r="H273" s="33">
        <f t="shared" si="8"/>
        <v>128764.736842105</v>
      </c>
      <c r="I273" s="37">
        <f t="shared" si="9"/>
        <v>21</v>
      </c>
    </row>
    <row r="274" ht="14.25" customHeight="1" spans="1:9">
      <c r="A274" s="30">
        <v>43968</v>
      </c>
      <c r="B274" s="31" t="s">
        <v>20</v>
      </c>
      <c r="C274" s="31">
        <v>28275</v>
      </c>
      <c r="D274" s="31">
        <v>2435632.5</v>
      </c>
      <c r="E274" s="32">
        <v>19</v>
      </c>
      <c r="F274" s="32">
        <v>1790</v>
      </c>
      <c r="G274" s="32">
        <v>1633</v>
      </c>
      <c r="H274" s="33">
        <f t="shared" si="8"/>
        <v>128191.184210526</v>
      </c>
      <c r="I274" s="37">
        <f t="shared" si="9"/>
        <v>20</v>
      </c>
    </row>
    <row r="275" ht="14.25" customHeight="1" spans="1:9">
      <c r="A275" s="34">
        <v>43960</v>
      </c>
      <c r="B275" s="35" t="s">
        <v>20</v>
      </c>
      <c r="C275" s="35">
        <v>26271</v>
      </c>
      <c r="D275" s="35">
        <v>2384937</v>
      </c>
      <c r="E275" s="32">
        <v>19</v>
      </c>
      <c r="F275" s="32">
        <v>1542</v>
      </c>
      <c r="G275" s="32">
        <v>1412</v>
      </c>
      <c r="H275" s="33">
        <f t="shared" si="8"/>
        <v>125523</v>
      </c>
      <c r="I275" s="37">
        <f t="shared" si="9"/>
        <v>19</v>
      </c>
    </row>
    <row r="276" ht="14.25" customHeight="1" spans="1:9">
      <c r="A276" s="30">
        <v>43955</v>
      </c>
      <c r="B276" s="31" t="s">
        <v>20</v>
      </c>
      <c r="C276" s="31">
        <v>23587.5</v>
      </c>
      <c r="D276" s="31">
        <v>2155668</v>
      </c>
      <c r="E276" s="32">
        <v>19</v>
      </c>
      <c r="F276" s="32">
        <v>1479</v>
      </c>
      <c r="G276" s="32">
        <v>1346</v>
      </c>
      <c r="H276" s="33">
        <f t="shared" si="8"/>
        <v>113456.210526316</v>
      </c>
      <c r="I276" s="37">
        <f t="shared" si="9"/>
        <v>19</v>
      </c>
    </row>
    <row r="277" ht="14.25" customHeight="1" spans="1:9">
      <c r="A277" s="34">
        <v>43953</v>
      </c>
      <c r="B277" s="35" t="s">
        <v>20</v>
      </c>
      <c r="C277" s="35">
        <v>18427.5</v>
      </c>
      <c r="D277" s="35">
        <v>1682851.5</v>
      </c>
      <c r="E277" s="32">
        <v>19</v>
      </c>
      <c r="F277" s="32">
        <v>1206</v>
      </c>
      <c r="G277" s="32">
        <v>1080</v>
      </c>
      <c r="H277" s="33">
        <f t="shared" si="8"/>
        <v>88571.1315789474</v>
      </c>
      <c r="I277" s="37">
        <f t="shared" si="9"/>
        <v>18</v>
      </c>
    </row>
    <row r="278" ht="14.25" customHeight="1" spans="1:9">
      <c r="A278" s="30">
        <v>43977</v>
      </c>
      <c r="B278" s="31" t="s">
        <v>20</v>
      </c>
      <c r="C278" s="31">
        <v>27156</v>
      </c>
      <c r="D278" s="31">
        <v>2410803</v>
      </c>
      <c r="E278" s="32">
        <v>20</v>
      </c>
      <c r="F278" s="32">
        <v>1814</v>
      </c>
      <c r="G278" s="32">
        <v>1655</v>
      </c>
      <c r="H278" s="33">
        <f t="shared" si="8"/>
        <v>120540.15</v>
      </c>
      <c r="I278" s="37">
        <f t="shared" si="9"/>
        <v>22</v>
      </c>
    </row>
    <row r="279" ht="14.25" customHeight="1" spans="1:9">
      <c r="A279" s="34">
        <v>43952</v>
      </c>
      <c r="B279" s="35" t="s">
        <v>20</v>
      </c>
      <c r="C279" s="35">
        <v>35190</v>
      </c>
      <c r="D279" s="35">
        <v>3168510</v>
      </c>
      <c r="E279" s="32">
        <v>19</v>
      </c>
      <c r="F279" s="32">
        <v>1987</v>
      </c>
      <c r="G279" s="32">
        <v>1791</v>
      </c>
      <c r="H279" s="33">
        <f t="shared" si="8"/>
        <v>166763.684210526</v>
      </c>
      <c r="I279" s="37">
        <f t="shared" si="9"/>
        <v>18</v>
      </c>
    </row>
    <row r="280" ht="14.25" customHeight="1" spans="1:9">
      <c r="A280" s="30">
        <v>43963</v>
      </c>
      <c r="B280" s="31" t="s">
        <v>20</v>
      </c>
      <c r="C280" s="31">
        <v>25483.5</v>
      </c>
      <c r="D280" s="31">
        <v>2243160</v>
      </c>
      <c r="E280" s="32">
        <v>19</v>
      </c>
      <c r="F280" s="32">
        <v>1598</v>
      </c>
      <c r="G280" s="32">
        <v>1454</v>
      </c>
      <c r="H280" s="33">
        <f t="shared" si="8"/>
        <v>118061.052631579</v>
      </c>
      <c r="I280" s="37">
        <f t="shared" si="9"/>
        <v>20</v>
      </c>
    </row>
    <row r="281" ht="14.25" customHeight="1" spans="1:9">
      <c r="A281" s="34">
        <v>43972</v>
      </c>
      <c r="B281" s="35" t="s">
        <v>20</v>
      </c>
      <c r="C281" s="35">
        <v>25362</v>
      </c>
      <c r="D281" s="35">
        <v>2198935.5</v>
      </c>
      <c r="E281" s="32">
        <v>19</v>
      </c>
      <c r="F281" s="32">
        <v>1650</v>
      </c>
      <c r="G281" s="32">
        <v>1505</v>
      </c>
      <c r="H281" s="33">
        <f t="shared" si="8"/>
        <v>115733.447368421</v>
      </c>
      <c r="I281" s="37">
        <f t="shared" si="9"/>
        <v>21</v>
      </c>
    </row>
    <row r="282" ht="14.25" customHeight="1" spans="1:9">
      <c r="A282" s="30">
        <v>43971</v>
      </c>
      <c r="B282" s="31" t="s">
        <v>20</v>
      </c>
      <c r="C282" s="31">
        <v>28849.5</v>
      </c>
      <c r="D282" s="31">
        <v>2520759</v>
      </c>
      <c r="E282" s="32">
        <v>19</v>
      </c>
      <c r="F282" s="32">
        <v>1823</v>
      </c>
      <c r="G282" s="32">
        <v>1678</v>
      </c>
      <c r="H282" s="33">
        <f t="shared" si="8"/>
        <v>132671.526315789</v>
      </c>
      <c r="I282" s="37">
        <f t="shared" si="9"/>
        <v>21</v>
      </c>
    </row>
    <row r="283" ht="14.25" customHeight="1" spans="1:9">
      <c r="A283" s="34">
        <v>43956</v>
      </c>
      <c r="B283" s="35" t="s">
        <v>20</v>
      </c>
      <c r="C283" s="35">
        <v>26367</v>
      </c>
      <c r="D283" s="35">
        <v>2380333.5</v>
      </c>
      <c r="E283" s="32">
        <v>19</v>
      </c>
      <c r="F283" s="32">
        <v>1622</v>
      </c>
      <c r="G283" s="32">
        <v>1482</v>
      </c>
      <c r="H283" s="33">
        <f t="shared" si="8"/>
        <v>125280.710526316</v>
      </c>
      <c r="I283" s="37">
        <f t="shared" si="9"/>
        <v>19</v>
      </c>
    </row>
    <row r="284" ht="14.25" customHeight="1" spans="1:9">
      <c r="A284" s="30">
        <v>43964</v>
      </c>
      <c r="B284" s="31" t="s">
        <v>20</v>
      </c>
      <c r="C284" s="31">
        <v>25539</v>
      </c>
      <c r="D284" s="31">
        <v>2263651.5</v>
      </c>
      <c r="E284" s="32">
        <v>19</v>
      </c>
      <c r="F284" s="32">
        <v>1605</v>
      </c>
      <c r="G284" s="32">
        <v>1447</v>
      </c>
      <c r="H284" s="33">
        <f t="shared" si="8"/>
        <v>119139.552631579</v>
      </c>
      <c r="I284" s="37">
        <f t="shared" si="9"/>
        <v>20</v>
      </c>
    </row>
    <row r="285" ht="14.25" customHeight="1" spans="1:9">
      <c r="A285" s="34">
        <v>43982</v>
      </c>
      <c r="B285" s="35" t="s">
        <v>19</v>
      </c>
      <c r="C285" s="35">
        <v>14808</v>
      </c>
      <c r="D285" s="35">
        <v>1336789.5</v>
      </c>
      <c r="E285" s="32">
        <v>16</v>
      </c>
      <c r="F285" s="32">
        <v>917</v>
      </c>
      <c r="G285" s="32">
        <v>802</v>
      </c>
      <c r="H285" s="33">
        <f t="shared" si="8"/>
        <v>83549.34375</v>
      </c>
      <c r="I285" s="37">
        <f t="shared" si="9"/>
        <v>22</v>
      </c>
    </row>
    <row r="286" ht="14.25" customHeight="1" spans="1:9">
      <c r="A286" s="30">
        <v>43954</v>
      </c>
      <c r="B286" s="31" t="s">
        <v>20</v>
      </c>
      <c r="C286" s="31">
        <v>21343.5</v>
      </c>
      <c r="D286" s="31">
        <v>1906557</v>
      </c>
      <c r="E286" s="32">
        <v>19</v>
      </c>
      <c r="F286" s="32">
        <v>1314</v>
      </c>
      <c r="G286" s="32">
        <v>1192</v>
      </c>
      <c r="H286" s="33">
        <f t="shared" si="8"/>
        <v>100345.105263158</v>
      </c>
      <c r="I286" s="37">
        <f t="shared" si="9"/>
        <v>18</v>
      </c>
    </row>
    <row r="287" ht="14.25" customHeight="1" spans="1:9">
      <c r="A287" s="34">
        <v>43981</v>
      </c>
      <c r="B287" s="35" t="s">
        <v>19</v>
      </c>
      <c r="C287" s="35">
        <v>17946</v>
      </c>
      <c r="D287" s="35">
        <v>1609090.5</v>
      </c>
      <c r="E287" s="32">
        <v>16</v>
      </c>
      <c r="F287" s="32">
        <v>1048</v>
      </c>
      <c r="G287" s="32">
        <v>918</v>
      </c>
      <c r="H287" s="33">
        <f t="shared" si="8"/>
        <v>100568.15625</v>
      </c>
      <c r="I287" s="37">
        <f t="shared" si="9"/>
        <v>22</v>
      </c>
    </row>
    <row r="288" ht="14.25" customHeight="1" spans="1:9">
      <c r="A288" s="30">
        <v>43957</v>
      </c>
      <c r="B288" s="31" t="s">
        <v>20</v>
      </c>
      <c r="C288" s="31">
        <v>24337.5</v>
      </c>
      <c r="D288" s="31">
        <v>2159350.5</v>
      </c>
      <c r="E288" s="32">
        <v>19</v>
      </c>
      <c r="F288" s="32">
        <v>1509</v>
      </c>
      <c r="G288" s="32">
        <v>1374</v>
      </c>
      <c r="H288" s="33">
        <f t="shared" si="8"/>
        <v>113650.026315789</v>
      </c>
      <c r="I288" s="37">
        <f t="shared" si="9"/>
        <v>19</v>
      </c>
    </row>
    <row r="289" ht="14.25" customHeight="1" spans="1:9">
      <c r="A289" s="34">
        <v>43974</v>
      </c>
      <c r="B289" s="35" t="s">
        <v>20</v>
      </c>
      <c r="C289" s="35">
        <v>36997.5</v>
      </c>
      <c r="D289" s="35">
        <v>3089140.5</v>
      </c>
      <c r="E289" s="32">
        <v>19</v>
      </c>
      <c r="F289" s="32">
        <v>2195</v>
      </c>
      <c r="G289" s="32">
        <v>1999</v>
      </c>
      <c r="H289" s="33">
        <f t="shared" si="8"/>
        <v>162586.342105263</v>
      </c>
      <c r="I289" s="37">
        <f t="shared" si="9"/>
        <v>21</v>
      </c>
    </row>
    <row r="290" ht="14.25" customHeight="1" spans="1:9">
      <c r="A290" s="30">
        <v>43979</v>
      </c>
      <c r="B290" s="31" t="s">
        <v>19</v>
      </c>
      <c r="C290" s="31">
        <v>13864.5</v>
      </c>
      <c r="D290" s="31">
        <v>1239747</v>
      </c>
      <c r="E290" s="32">
        <v>16</v>
      </c>
      <c r="F290" s="32">
        <v>876</v>
      </c>
      <c r="G290" s="32">
        <v>762</v>
      </c>
      <c r="H290" s="33">
        <f t="shared" si="8"/>
        <v>77484.1875</v>
      </c>
      <c r="I290" s="37">
        <f t="shared" si="9"/>
        <v>22</v>
      </c>
    </row>
    <row r="291" ht="14.25" customHeight="1" spans="1:9">
      <c r="A291" s="34">
        <v>43976</v>
      </c>
      <c r="B291" s="35" t="s">
        <v>20</v>
      </c>
      <c r="C291" s="35">
        <v>28494</v>
      </c>
      <c r="D291" s="35">
        <v>2512803</v>
      </c>
      <c r="E291" s="32">
        <v>20</v>
      </c>
      <c r="F291" s="32">
        <v>1899</v>
      </c>
      <c r="G291" s="32">
        <v>1738</v>
      </c>
      <c r="H291" s="33">
        <f t="shared" si="8"/>
        <v>125640.15</v>
      </c>
      <c r="I291" s="37">
        <f t="shared" si="9"/>
        <v>22</v>
      </c>
    </row>
    <row r="292" ht="14.25" customHeight="1" spans="1:9">
      <c r="A292" s="30">
        <v>43951</v>
      </c>
      <c r="B292" s="31" t="s">
        <v>20</v>
      </c>
      <c r="C292" s="31">
        <v>27883.5</v>
      </c>
      <c r="D292" s="31">
        <v>2560080</v>
      </c>
      <c r="E292" s="32">
        <v>19</v>
      </c>
      <c r="F292" s="32">
        <v>1662</v>
      </c>
      <c r="G292" s="32">
        <v>1506</v>
      </c>
      <c r="H292" s="33">
        <f t="shared" si="8"/>
        <v>134741.052631579</v>
      </c>
      <c r="I292" s="37">
        <f t="shared" si="9"/>
        <v>18</v>
      </c>
    </row>
    <row r="293" ht="14.25" customHeight="1" spans="1:9">
      <c r="A293" s="34">
        <v>43961</v>
      </c>
      <c r="B293" s="35" t="s">
        <v>20</v>
      </c>
      <c r="C293" s="35">
        <v>31224</v>
      </c>
      <c r="D293" s="35">
        <v>2767270.5</v>
      </c>
      <c r="E293" s="32">
        <v>19</v>
      </c>
      <c r="F293" s="32">
        <v>1836</v>
      </c>
      <c r="G293" s="32">
        <v>1680</v>
      </c>
      <c r="H293" s="33">
        <f t="shared" si="8"/>
        <v>145645.815789474</v>
      </c>
      <c r="I293" s="37">
        <f t="shared" si="9"/>
        <v>19</v>
      </c>
    </row>
    <row r="294" ht="14.25" customHeight="1" spans="1:9">
      <c r="A294" s="30">
        <v>43959</v>
      </c>
      <c r="B294" s="31" t="s">
        <v>20</v>
      </c>
      <c r="C294" s="31">
        <v>25020</v>
      </c>
      <c r="D294" s="31">
        <v>2235960</v>
      </c>
      <c r="E294" s="32">
        <v>19</v>
      </c>
      <c r="F294" s="32">
        <v>1520</v>
      </c>
      <c r="G294" s="32">
        <v>1380</v>
      </c>
      <c r="H294" s="33">
        <f t="shared" si="8"/>
        <v>117682.105263158</v>
      </c>
      <c r="I294" s="37">
        <f t="shared" si="9"/>
        <v>19</v>
      </c>
    </row>
    <row r="295" ht="14.25" customHeight="1" spans="1:9">
      <c r="A295" s="34">
        <v>43958</v>
      </c>
      <c r="B295" s="35" t="s">
        <v>20</v>
      </c>
      <c r="C295" s="35">
        <v>26184</v>
      </c>
      <c r="D295" s="35">
        <v>2308336.5</v>
      </c>
      <c r="E295" s="32">
        <v>19</v>
      </c>
      <c r="F295" s="32">
        <v>1580</v>
      </c>
      <c r="G295" s="32">
        <v>1435</v>
      </c>
      <c r="H295" s="33">
        <f t="shared" si="8"/>
        <v>121491.394736842</v>
      </c>
      <c r="I295" s="37">
        <f t="shared" si="9"/>
        <v>19</v>
      </c>
    </row>
    <row r="296" ht="14.25" customHeight="1" spans="1:9">
      <c r="A296" s="30">
        <v>43975</v>
      </c>
      <c r="B296" s="31" t="s">
        <v>20</v>
      </c>
      <c r="C296" s="31">
        <v>29824.5</v>
      </c>
      <c r="D296" s="31">
        <v>2526909</v>
      </c>
      <c r="E296" s="32">
        <v>19</v>
      </c>
      <c r="F296" s="32">
        <v>1868</v>
      </c>
      <c r="G296" s="32">
        <v>1706</v>
      </c>
      <c r="H296" s="33">
        <f t="shared" si="8"/>
        <v>132995.210526316</v>
      </c>
      <c r="I296" s="37">
        <f t="shared" si="9"/>
        <v>21</v>
      </c>
    </row>
    <row r="297" ht="14.25" customHeight="1" spans="1:9">
      <c r="A297" s="34">
        <v>43950</v>
      </c>
      <c r="B297" s="35" t="s">
        <v>21</v>
      </c>
      <c r="C297" s="35">
        <v>208351.5</v>
      </c>
      <c r="D297" s="35">
        <v>21615333</v>
      </c>
      <c r="E297" s="32">
        <v>59</v>
      </c>
      <c r="F297" s="32">
        <v>13186</v>
      </c>
      <c r="G297" s="32">
        <v>12251</v>
      </c>
      <c r="H297" s="33">
        <f t="shared" si="8"/>
        <v>366361.576271186</v>
      </c>
      <c r="I297" s="37">
        <f t="shared" si="9"/>
        <v>18</v>
      </c>
    </row>
    <row r="298" ht="14.25" customHeight="1" spans="1:9">
      <c r="A298" s="30">
        <v>43949</v>
      </c>
      <c r="B298" s="31" t="s">
        <v>21</v>
      </c>
      <c r="C298" s="31">
        <v>204637.5</v>
      </c>
      <c r="D298" s="31">
        <v>21114898.5</v>
      </c>
      <c r="E298" s="32">
        <v>59</v>
      </c>
      <c r="F298" s="32">
        <v>12943</v>
      </c>
      <c r="G298" s="32">
        <v>12072</v>
      </c>
      <c r="H298" s="33">
        <f t="shared" si="8"/>
        <v>357879.63559322</v>
      </c>
      <c r="I298" s="37">
        <f t="shared" si="9"/>
        <v>18</v>
      </c>
    </row>
    <row r="299" ht="14.25" customHeight="1" spans="1:9">
      <c r="A299" s="34">
        <v>43982</v>
      </c>
      <c r="B299" s="35" t="s">
        <v>20</v>
      </c>
      <c r="C299" s="35">
        <v>31372.5</v>
      </c>
      <c r="D299" s="35">
        <v>2794324.5</v>
      </c>
      <c r="E299" s="32">
        <v>21</v>
      </c>
      <c r="F299" s="32">
        <v>2056</v>
      </c>
      <c r="G299" s="32">
        <v>1879</v>
      </c>
      <c r="H299" s="33">
        <f t="shared" si="8"/>
        <v>133063.071428571</v>
      </c>
      <c r="I299" s="37">
        <f t="shared" si="9"/>
        <v>22</v>
      </c>
    </row>
    <row r="300" ht="14.25" customHeight="1" spans="1:9">
      <c r="A300" s="30">
        <v>43981</v>
      </c>
      <c r="B300" s="31" t="s">
        <v>20</v>
      </c>
      <c r="C300" s="31">
        <v>34681.5</v>
      </c>
      <c r="D300" s="31">
        <v>3005334</v>
      </c>
      <c r="E300" s="32">
        <v>20</v>
      </c>
      <c r="F300" s="32">
        <v>2174</v>
      </c>
      <c r="G300" s="32">
        <v>1957</v>
      </c>
      <c r="H300" s="33">
        <f t="shared" si="8"/>
        <v>150266.7</v>
      </c>
      <c r="I300" s="37">
        <f t="shared" si="9"/>
        <v>22</v>
      </c>
    </row>
    <row r="301" ht="14.25" customHeight="1" spans="1:9">
      <c r="A301" s="34">
        <v>43979</v>
      </c>
      <c r="B301" s="35" t="s">
        <v>20</v>
      </c>
      <c r="C301" s="35">
        <v>28197</v>
      </c>
      <c r="D301" s="35">
        <v>2559211.5</v>
      </c>
      <c r="E301" s="32">
        <v>20</v>
      </c>
      <c r="F301" s="32">
        <v>1875</v>
      </c>
      <c r="G301" s="32">
        <v>1701</v>
      </c>
      <c r="H301" s="33">
        <f t="shared" si="8"/>
        <v>127960.575</v>
      </c>
      <c r="I301" s="37">
        <f t="shared" si="9"/>
        <v>22</v>
      </c>
    </row>
    <row r="302" ht="14.25" customHeight="1" spans="1:9">
      <c r="A302" s="30">
        <v>43967</v>
      </c>
      <c r="B302" s="31" t="s">
        <v>21</v>
      </c>
      <c r="C302" s="31">
        <v>236551.5</v>
      </c>
      <c r="D302" s="31">
        <v>23689383</v>
      </c>
      <c r="E302" s="32">
        <v>60</v>
      </c>
      <c r="F302" s="32">
        <v>14049</v>
      </c>
      <c r="G302" s="32">
        <v>13118</v>
      </c>
      <c r="H302" s="33">
        <f t="shared" si="8"/>
        <v>394823.05</v>
      </c>
      <c r="I302" s="37">
        <f t="shared" si="9"/>
        <v>20</v>
      </c>
    </row>
    <row r="303" ht="14.25" customHeight="1" spans="1:9">
      <c r="A303" s="34">
        <v>43970</v>
      </c>
      <c r="B303" s="35" t="s">
        <v>21</v>
      </c>
      <c r="C303" s="35">
        <v>223597.5</v>
      </c>
      <c r="D303" s="35">
        <v>21945858</v>
      </c>
      <c r="E303" s="32">
        <v>60</v>
      </c>
      <c r="F303" s="32">
        <v>13867</v>
      </c>
      <c r="G303" s="32">
        <v>12987</v>
      </c>
      <c r="H303" s="33">
        <f t="shared" si="8"/>
        <v>365764.3</v>
      </c>
      <c r="I303" s="37">
        <f t="shared" si="9"/>
        <v>21</v>
      </c>
    </row>
    <row r="304" ht="14.25" customHeight="1" spans="1:9">
      <c r="A304" s="30">
        <v>43968</v>
      </c>
      <c r="B304" s="31" t="s">
        <v>21</v>
      </c>
      <c r="C304" s="31">
        <v>193363.5</v>
      </c>
      <c r="D304" s="31">
        <v>19546386</v>
      </c>
      <c r="E304" s="32">
        <v>60</v>
      </c>
      <c r="F304" s="32">
        <v>11698</v>
      </c>
      <c r="G304" s="32">
        <v>10989</v>
      </c>
      <c r="H304" s="33">
        <f t="shared" si="8"/>
        <v>325773.1</v>
      </c>
      <c r="I304" s="37">
        <f t="shared" si="9"/>
        <v>20</v>
      </c>
    </row>
    <row r="305" ht="14.25" customHeight="1" spans="1:9">
      <c r="A305" s="34">
        <v>43960</v>
      </c>
      <c r="B305" s="35" t="s">
        <v>21</v>
      </c>
      <c r="C305" s="35">
        <v>188319</v>
      </c>
      <c r="D305" s="35">
        <v>19218631.5</v>
      </c>
      <c r="E305" s="32">
        <v>59</v>
      </c>
      <c r="F305" s="32">
        <v>12016</v>
      </c>
      <c r="G305" s="32">
        <v>11137</v>
      </c>
      <c r="H305" s="33">
        <f t="shared" si="8"/>
        <v>325739.516949153</v>
      </c>
      <c r="I305" s="37">
        <f t="shared" si="9"/>
        <v>19</v>
      </c>
    </row>
    <row r="306" ht="14.25" customHeight="1" spans="1:9">
      <c r="A306" s="30">
        <v>43955</v>
      </c>
      <c r="B306" s="31" t="s">
        <v>21</v>
      </c>
      <c r="C306" s="31">
        <v>237544.5</v>
      </c>
      <c r="D306" s="31">
        <v>24292218</v>
      </c>
      <c r="E306" s="32">
        <v>59</v>
      </c>
      <c r="F306" s="32">
        <v>14423</v>
      </c>
      <c r="G306" s="32">
        <v>13432</v>
      </c>
      <c r="H306" s="33">
        <f t="shared" si="8"/>
        <v>411732.508474576</v>
      </c>
      <c r="I306" s="37">
        <f t="shared" si="9"/>
        <v>19</v>
      </c>
    </row>
    <row r="307" ht="14.25" customHeight="1" spans="1:9">
      <c r="A307" s="34">
        <v>43950</v>
      </c>
      <c r="B307" s="35" t="s">
        <v>22</v>
      </c>
      <c r="C307" s="35">
        <v>203209.5</v>
      </c>
      <c r="D307" s="35">
        <v>20871391.5</v>
      </c>
      <c r="E307" s="32">
        <v>54</v>
      </c>
      <c r="F307" s="32">
        <v>12747</v>
      </c>
      <c r="G307" s="32">
        <v>11884</v>
      </c>
      <c r="H307" s="33">
        <f t="shared" si="8"/>
        <v>386507.25</v>
      </c>
      <c r="I307" s="37">
        <f t="shared" si="9"/>
        <v>18</v>
      </c>
    </row>
    <row r="308" ht="14.25" customHeight="1" spans="1:9">
      <c r="A308" s="30">
        <v>43953</v>
      </c>
      <c r="B308" s="31" t="s">
        <v>21</v>
      </c>
      <c r="C308" s="31">
        <v>185979</v>
      </c>
      <c r="D308" s="31">
        <v>19625364</v>
      </c>
      <c r="E308" s="32">
        <v>59</v>
      </c>
      <c r="F308" s="32">
        <v>12429</v>
      </c>
      <c r="G308" s="32">
        <v>11477</v>
      </c>
      <c r="H308" s="33">
        <f t="shared" si="8"/>
        <v>332633.288135593</v>
      </c>
      <c r="I308" s="37">
        <f t="shared" si="9"/>
        <v>18</v>
      </c>
    </row>
    <row r="309" ht="14.25" customHeight="1" spans="1:9">
      <c r="A309" s="34">
        <v>43977</v>
      </c>
      <c r="B309" s="35" t="s">
        <v>21</v>
      </c>
      <c r="C309" s="35">
        <v>244905</v>
      </c>
      <c r="D309" s="35">
        <v>25163431.5</v>
      </c>
      <c r="E309" s="32">
        <v>59</v>
      </c>
      <c r="F309" s="32">
        <v>15369</v>
      </c>
      <c r="G309" s="32">
        <v>14299</v>
      </c>
      <c r="H309" s="33">
        <f t="shared" si="8"/>
        <v>426498.838983051</v>
      </c>
      <c r="I309" s="37">
        <f t="shared" si="9"/>
        <v>22</v>
      </c>
    </row>
    <row r="310" ht="14.25" customHeight="1" spans="1:9">
      <c r="A310" s="30">
        <v>43952</v>
      </c>
      <c r="B310" s="31" t="s">
        <v>21</v>
      </c>
      <c r="C310" s="31">
        <v>239409</v>
      </c>
      <c r="D310" s="31">
        <v>25413351</v>
      </c>
      <c r="E310" s="32">
        <v>59</v>
      </c>
      <c r="F310" s="32">
        <v>15222</v>
      </c>
      <c r="G310" s="32">
        <v>13873</v>
      </c>
      <c r="H310" s="33">
        <f t="shared" si="8"/>
        <v>430734.762711864</v>
      </c>
      <c r="I310" s="37">
        <f t="shared" si="9"/>
        <v>18</v>
      </c>
    </row>
    <row r="311" ht="14.25" customHeight="1" spans="1:9">
      <c r="A311" s="34">
        <v>43963</v>
      </c>
      <c r="B311" s="35" t="s">
        <v>21</v>
      </c>
      <c r="C311" s="35">
        <v>192886.5</v>
      </c>
      <c r="D311" s="35">
        <v>19205179.5</v>
      </c>
      <c r="E311" s="32">
        <v>60</v>
      </c>
      <c r="F311" s="32">
        <v>12000</v>
      </c>
      <c r="G311" s="32">
        <v>11194</v>
      </c>
      <c r="H311" s="33">
        <f t="shared" si="8"/>
        <v>320086.325</v>
      </c>
      <c r="I311" s="37">
        <f t="shared" si="9"/>
        <v>20</v>
      </c>
    </row>
    <row r="312" ht="14.25" customHeight="1" spans="1:9">
      <c r="A312" s="30">
        <v>43972</v>
      </c>
      <c r="B312" s="31" t="s">
        <v>21</v>
      </c>
      <c r="C312" s="31">
        <v>224233.5</v>
      </c>
      <c r="D312" s="31">
        <v>22253295</v>
      </c>
      <c r="E312" s="32">
        <v>60</v>
      </c>
      <c r="F312" s="32">
        <v>14005</v>
      </c>
      <c r="G312" s="32">
        <v>13002</v>
      </c>
      <c r="H312" s="33">
        <f t="shared" si="8"/>
        <v>370888.25</v>
      </c>
      <c r="I312" s="37">
        <f t="shared" si="9"/>
        <v>21</v>
      </c>
    </row>
    <row r="313" ht="14.25" customHeight="1" spans="1:9">
      <c r="A313" s="34">
        <v>43971</v>
      </c>
      <c r="B313" s="35" t="s">
        <v>21</v>
      </c>
      <c r="C313" s="35">
        <v>219622.5</v>
      </c>
      <c r="D313" s="35">
        <v>21959286</v>
      </c>
      <c r="E313" s="32">
        <v>60</v>
      </c>
      <c r="F313" s="32">
        <v>13792</v>
      </c>
      <c r="G313" s="32">
        <v>12834</v>
      </c>
      <c r="H313" s="33">
        <f t="shared" si="8"/>
        <v>365988.1</v>
      </c>
      <c r="I313" s="37">
        <f t="shared" si="9"/>
        <v>21</v>
      </c>
    </row>
    <row r="314" ht="14.25" customHeight="1" spans="1:9">
      <c r="A314" s="30">
        <v>43956</v>
      </c>
      <c r="B314" s="31" t="s">
        <v>21</v>
      </c>
      <c r="C314" s="31">
        <v>213582</v>
      </c>
      <c r="D314" s="31">
        <v>21919435.5</v>
      </c>
      <c r="E314" s="32">
        <v>59</v>
      </c>
      <c r="F314" s="32">
        <v>13469</v>
      </c>
      <c r="G314" s="32">
        <v>12486</v>
      </c>
      <c r="H314" s="33">
        <f t="shared" si="8"/>
        <v>371515.855932203</v>
      </c>
      <c r="I314" s="37">
        <f t="shared" si="9"/>
        <v>19</v>
      </c>
    </row>
    <row r="315" ht="14.25" customHeight="1" spans="1:9">
      <c r="A315" s="34">
        <v>43949</v>
      </c>
      <c r="B315" s="35" t="s">
        <v>22</v>
      </c>
      <c r="C315" s="35">
        <v>195705</v>
      </c>
      <c r="D315" s="35">
        <v>20003263.5</v>
      </c>
      <c r="E315" s="32">
        <v>54</v>
      </c>
      <c r="F315" s="32">
        <v>12306</v>
      </c>
      <c r="G315" s="32">
        <v>11532</v>
      </c>
      <c r="H315" s="33">
        <f t="shared" si="8"/>
        <v>370430.805555556</v>
      </c>
      <c r="I315" s="37">
        <f t="shared" si="9"/>
        <v>18</v>
      </c>
    </row>
    <row r="316" ht="14.25" customHeight="1" spans="1:9">
      <c r="A316" s="30">
        <v>43964</v>
      </c>
      <c r="B316" s="31" t="s">
        <v>21</v>
      </c>
      <c r="C316" s="31">
        <v>193722</v>
      </c>
      <c r="D316" s="31">
        <v>19437273</v>
      </c>
      <c r="E316" s="32">
        <v>60</v>
      </c>
      <c r="F316" s="32">
        <v>12007</v>
      </c>
      <c r="G316" s="32">
        <v>11245</v>
      </c>
      <c r="H316" s="33">
        <f t="shared" si="8"/>
        <v>323954.55</v>
      </c>
      <c r="I316" s="37">
        <f t="shared" si="9"/>
        <v>20</v>
      </c>
    </row>
    <row r="317" ht="14.25" customHeight="1" spans="1:9">
      <c r="A317" s="34">
        <v>43954</v>
      </c>
      <c r="B317" s="35" t="s">
        <v>21</v>
      </c>
      <c r="C317" s="35">
        <v>257215.5</v>
      </c>
      <c r="D317" s="35">
        <v>26492278.5</v>
      </c>
      <c r="E317" s="32">
        <v>59</v>
      </c>
      <c r="F317" s="32">
        <v>15277</v>
      </c>
      <c r="G317" s="32">
        <v>14163</v>
      </c>
      <c r="H317" s="33">
        <f t="shared" si="8"/>
        <v>449021.669491525</v>
      </c>
      <c r="I317" s="37">
        <f t="shared" si="9"/>
        <v>18</v>
      </c>
    </row>
    <row r="318" ht="14.25" customHeight="1" spans="1:9">
      <c r="A318" s="30">
        <v>43957</v>
      </c>
      <c r="B318" s="31" t="s">
        <v>21</v>
      </c>
      <c r="C318" s="31">
        <v>224779.5</v>
      </c>
      <c r="D318" s="31">
        <v>23032992</v>
      </c>
      <c r="E318" s="32">
        <v>59</v>
      </c>
      <c r="F318" s="32">
        <v>14103</v>
      </c>
      <c r="G318" s="32">
        <v>13118</v>
      </c>
      <c r="H318" s="33">
        <f t="shared" si="8"/>
        <v>390389.694915254</v>
      </c>
      <c r="I318" s="37">
        <f t="shared" si="9"/>
        <v>19</v>
      </c>
    </row>
    <row r="319" ht="14.25" customHeight="1" spans="1:9">
      <c r="A319" s="34">
        <v>43974</v>
      </c>
      <c r="B319" s="35" t="s">
        <v>21</v>
      </c>
      <c r="C319" s="35">
        <v>292018.5</v>
      </c>
      <c r="D319" s="35">
        <v>28590910.5</v>
      </c>
      <c r="E319" s="32">
        <v>60</v>
      </c>
      <c r="F319" s="32">
        <v>17295</v>
      </c>
      <c r="G319" s="32">
        <v>16010</v>
      </c>
      <c r="H319" s="33">
        <f t="shared" si="8"/>
        <v>476515.175</v>
      </c>
      <c r="I319" s="37">
        <f t="shared" si="9"/>
        <v>21</v>
      </c>
    </row>
    <row r="320" ht="14.25" customHeight="1" spans="1:9">
      <c r="A320" s="30">
        <v>43976</v>
      </c>
      <c r="B320" s="31" t="s">
        <v>21</v>
      </c>
      <c r="C320" s="31">
        <v>198751.5</v>
      </c>
      <c r="D320" s="31">
        <v>20582743.5</v>
      </c>
      <c r="E320" s="32">
        <v>59</v>
      </c>
      <c r="F320" s="32">
        <v>12983</v>
      </c>
      <c r="G320" s="32">
        <v>12056</v>
      </c>
      <c r="H320" s="33">
        <f t="shared" si="8"/>
        <v>348860.059322034</v>
      </c>
      <c r="I320" s="37">
        <f t="shared" si="9"/>
        <v>22</v>
      </c>
    </row>
    <row r="321" ht="14.25" customHeight="1" spans="1:9">
      <c r="A321" s="34">
        <v>43951</v>
      </c>
      <c r="B321" s="35" t="s">
        <v>21</v>
      </c>
      <c r="C321" s="35">
        <v>214386</v>
      </c>
      <c r="D321" s="35">
        <v>22530000</v>
      </c>
      <c r="E321" s="32">
        <v>59</v>
      </c>
      <c r="F321" s="32">
        <v>13251</v>
      </c>
      <c r="G321" s="32">
        <v>12255</v>
      </c>
      <c r="H321" s="33">
        <f t="shared" si="8"/>
        <v>381864.406779661</v>
      </c>
      <c r="I321" s="37">
        <f t="shared" si="9"/>
        <v>18</v>
      </c>
    </row>
    <row r="322" ht="14.25" customHeight="1" spans="1:9">
      <c r="A322" s="30">
        <v>43961</v>
      </c>
      <c r="B322" s="31" t="s">
        <v>21</v>
      </c>
      <c r="C322" s="31">
        <v>243825</v>
      </c>
      <c r="D322" s="31">
        <v>24890404.5</v>
      </c>
      <c r="E322" s="32">
        <v>59</v>
      </c>
      <c r="F322" s="32">
        <v>14569</v>
      </c>
      <c r="G322" s="32">
        <v>13566</v>
      </c>
      <c r="H322" s="33">
        <f t="shared" si="8"/>
        <v>421871.262711864</v>
      </c>
      <c r="I322" s="37">
        <f t="shared" si="9"/>
        <v>19</v>
      </c>
    </row>
    <row r="323" ht="14.25" customHeight="1" spans="1:9">
      <c r="A323" s="34">
        <v>43959</v>
      </c>
      <c r="B323" s="35" t="s">
        <v>21</v>
      </c>
      <c r="C323" s="35">
        <v>232701</v>
      </c>
      <c r="D323" s="35">
        <v>23881948.5</v>
      </c>
      <c r="E323" s="32">
        <v>59</v>
      </c>
      <c r="F323" s="32">
        <v>14098</v>
      </c>
      <c r="G323" s="32">
        <v>13106</v>
      </c>
      <c r="H323" s="33">
        <f t="shared" ref="H323:H386" si="10">D323/E323</f>
        <v>404778.788135593</v>
      </c>
      <c r="I323" s="37">
        <f t="shared" ref="I323:I386" si="11">WEEKNUM(A323,2)</f>
        <v>19</v>
      </c>
    </row>
    <row r="324" ht="14.25" customHeight="1" spans="1:9">
      <c r="A324" s="30">
        <v>43958</v>
      </c>
      <c r="B324" s="31" t="s">
        <v>21</v>
      </c>
      <c r="C324" s="31">
        <v>219411</v>
      </c>
      <c r="D324" s="31">
        <v>22460130</v>
      </c>
      <c r="E324" s="32">
        <v>59</v>
      </c>
      <c r="F324" s="32">
        <v>13495</v>
      </c>
      <c r="G324" s="32">
        <v>12517</v>
      </c>
      <c r="H324" s="33">
        <f t="shared" si="10"/>
        <v>380680.169491525</v>
      </c>
      <c r="I324" s="37">
        <f t="shared" si="11"/>
        <v>19</v>
      </c>
    </row>
    <row r="325" ht="14.25" customHeight="1" spans="1:9">
      <c r="A325" s="34">
        <v>43975</v>
      </c>
      <c r="B325" s="35" t="s">
        <v>21</v>
      </c>
      <c r="C325" s="35">
        <v>200029.5</v>
      </c>
      <c r="D325" s="35">
        <v>19959801</v>
      </c>
      <c r="E325" s="32">
        <v>60</v>
      </c>
      <c r="F325" s="32">
        <v>12822</v>
      </c>
      <c r="G325" s="32">
        <v>11916</v>
      </c>
      <c r="H325" s="33">
        <f t="shared" si="10"/>
        <v>332663.35</v>
      </c>
      <c r="I325" s="37">
        <f t="shared" si="11"/>
        <v>21</v>
      </c>
    </row>
    <row r="326" ht="14.25" customHeight="1" spans="1:9">
      <c r="A326" s="30">
        <v>43967</v>
      </c>
      <c r="B326" s="31" t="s">
        <v>22</v>
      </c>
      <c r="C326" s="31">
        <v>225480</v>
      </c>
      <c r="D326" s="31">
        <v>22355338.5</v>
      </c>
      <c r="E326" s="32">
        <v>54</v>
      </c>
      <c r="F326" s="32">
        <v>13170</v>
      </c>
      <c r="G326" s="32">
        <v>12299</v>
      </c>
      <c r="H326" s="33">
        <f t="shared" si="10"/>
        <v>413987.75</v>
      </c>
      <c r="I326" s="37">
        <f t="shared" si="11"/>
        <v>20</v>
      </c>
    </row>
    <row r="327" ht="14.25" customHeight="1" spans="1:9">
      <c r="A327" s="34">
        <v>43970</v>
      </c>
      <c r="B327" s="35" t="s">
        <v>22</v>
      </c>
      <c r="C327" s="35">
        <v>211453.5</v>
      </c>
      <c r="D327" s="35">
        <v>20590072.5</v>
      </c>
      <c r="E327" s="32">
        <v>54</v>
      </c>
      <c r="F327" s="32">
        <v>13070</v>
      </c>
      <c r="G327" s="32">
        <v>12244</v>
      </c>
      <c r="H327" s="33">
        <f t="shared" si="10"/>
        <v>381297.638888889</v>
      </c>
      <c r="I327" s="37">
        <f t="shared" si="11"/>
        <v>21</v>
      </c>
    </row>
    <row r="328" ht="14.25" customHeight="1" spans="1:9">
      <c r="A328" s="30">
        <v>43968</v>
      </c>
      <c r="B328" s="31" t="s">
        <v>22</v>
      </c>
      <c r="C328" s="31">
        <v>184801.5</v>
      </c>
      <c r="D328" s="31">
        <v>18449091</v>
      </c>
      <c r="E328" s="32">
        <v>54</v>
      </c>
      <c r="F328" s="32">
        <v>11128</v>
      </c>
      <c r="G328" s="32">
        <v>10467</v>
      </c>
      <c r="H328" s="33">
        <f t="shared" si="10"/>
        <v>341649.833333333</v>
      </c>
      <c r="I328" s="37">
        <f t="shared" si="11"/>
        <v>20</v>
      </c>
    </row>
    <row r="329" ht="14.25" customHeight="1" spans="1:9">
      <c r="A329" s="34">
        <v>43960</v>
      </c>
      <c r="B329" s="35" t="s">
        <v>22</v>
      </c>
      <c r="C329" s="35">
        <v>177976.5</v>
      </c>
      <c r="D329" s="35">
        <v>18085798.5</v>
      </c>
      <c r="E329" s="32">
        <v>54</v>
      </c>
      <c r="F329" s="32">
        <v>11288</v>
      </c>
      <c r="G329" s="32">
        <v>10492</v>
      </c>
      <c r="H329" s="33">
        <f t="shared" si="10"/>
        <v>334922.194444444</v>
      </c>
      <c r="I329" s="37">
        <f t="shared" si="11"/>
        <v>19</v>
      </c>
    </row>
    <row r="330" ht="14.25" customHeight="1" spans="1:9">
      <c r="A330" s="30">
        <v>43955</v>
      </c>
      <c r="B330" s="31" t="s">
        <v>22</v>
      </c>
      <c r="C330" s="31">
        <v>223617</v>
      </c>
      <c r="D330" s="31">
        <v>22796827.5</v>
      </c>
      <c r="E330" s="32">
        <v>54</v>
      </c>
      <c r="F330" s="32">
        <v>13606</v>
      </c>
      <c r="G330" s="32">
        <v>12697</v>
      </c>
      <c r="H330" s="33">
        <f t="shared" si="10"/>
        <v>422163.472222222</v>
      </c>
      <c r="I330" s="37">
        <f t="shared" si="11"/>
        <v>19</v>
      </c>
    </row>
    <row r="331" ht="14.25" customHeight="1" spans="1:9">
      <c r="A331" s="34">
        <v>43953</v>
      </c>
      <c r="B331" s="35" t="s">
        <v>22</v>
      </c>
      <c r="C331" s="35">
        <v>176397</v>
      </c>
      <c r="D331" s="35">
        <v>18625921.5</v>
      </c>
      <c r="E331" s="32">
        <v>54</v>
      </c>
      <c r="F331" s="32">
        <v>11622</v>
      </c>
      <c r="G331" s="32">
        <v>10754</v>
      </c>
      <c r="H331" s="33">
        <f t="shared" si="10"/>
        <v>344924.472222222</v>
      </c>
      <c r="I331" s="37">
        <f t="shared" si="11"/>
        <v>18</v>
      </c>
    </row>
    <row r="332" ht="14.25" customHeight="1" spans="1:9">
      <c r="A332" s="30">
        <v>43977</v>
      </c>
      <c r="B332" s="31" t="s">
        <v>22</v>
      </c>
      <c r="C332" s="31">
        <v>232369.5</v>
      </c>
      <c r="D332" s="31">
        <v>23856345</v>
      </c>
      <c r="E332" s="32">
        <v>54</v>
      </c>
      <c r="F332" s="32">
        <v>14482</v>
      </c>
      <c r="G332" s="32">
        <v>13510</v>
      </c>
      <c r="H332" s="33">
        <f t="shared" si="10"/>
        <v>441784.166666667</v>
      </c>
      <c r="I332" s="37">
        <f t="shared" si="11"/>
        <v>22</v>
      </c>
    </row>
    <row r="333" ht="14.25" customHeight="1" spans="1:9">
      <c r="A333" s="34">
        <v>43952</v>
      </c>
      <c r="B333" s="35" t="s">
        <v>22</v>
      </c>
      <c r="C333" s="35">
        <v>226540.5</v>
      </c>
      <c r="D333" s="35">
        <v>23953536</v>
      </c>
      <c r="E333" s="32">
        <v>54</v>
      </c>
      <c r="F333" s="32">
        <v>14205</v>
      </c>
      <c r="G333" s="32">
        <v>13026</v>
      </c>
      <c r="H333" s="33">
        <f t="shared" si="10"/>
        <v>443584</v>
      </c>
      <c r="I333" s="37">
        <f t="shared" si="11"/>
        <v>18</v>
      </c>
    </row>
    <row r="334" ht="14.25" customHeight="1" spans="1:9">
      <c r="A334" s="30">
        <v>43963</v>
      </c>
      <c r="B334" s="31" t="s">
        <v>22</v>
      </c>
      <c r="C334" s="31">
        <v>189679.5</v>
      </c>
      <c r="D334" s="31">
        <v>18718036.5</v>
      </c>
      <c r="E334" s="32">
        <v>54</v>
      </c>
      <c r="F334" s="32">
        <v>11614</v>
      </c>
      <c r="G334" s="32">
        <v>10862</v>
      </c>
      <c r="H334" s="33">
        <f t="shared" si="10"/>
        <v>346630.305555556</v>
      </c>
      <c r="I334" s="37">
        <f t="shared" si="11"/>
        <v>20</v>
      </c>
    </row>
    <row r="335" ht="14.25" customHeight="1" spans="1:9">
      <c r="A335" s="34">
        <v>43972</v>
      </c>
      <c r="B335" s="35" t="s">
        <v>22</v>
      </c>
      <c r="C335" s="35">
        <v>213640.5</v>
      </c>
      <c r="D335" s="35">
        <v>21042673.5</v>
      </c>
      <c r="E335" s="32">
        <v>54</v>
      </c>
      <c r="F335" s="32">
        <v>13240</v>
      </c>
      <c r="G335" s="32">
        <v>12360</v>
      </c>
      <c r="H335" s="33">
        <f t="shared" si="10"/>
        <v>389679.138888889</v>
      </c>
      <c r="I335" s="37">
        <f t="shared" si="11"/>
        <v>21</v>
      </c>
    </row>
    <row r="336" ht="14.25" customHeight="1" spans="1:9">
      <c r="A336" s="30">
        <v>43971</v>
      </c>
      <c r="B336" s="31" t="s">
        <v>22</v>
      </c>
      <c r="C336" s="31">
        <v>214885.5</v>
      </c>
      <c r="D336" s="31">
        <v>21411349.5</v>
      </c>
      <c r="E336" s="32">
        <v>54</v>
      </c>
      <c r="F336" s="32">
        <v>13298</v>
      </c>
      <c r="G336" s="32">
        <v>12428</v>
      </c>
      <c r="H336" s="33">
        <f t="shared" si="10"/>
        <v>396506.472222222</v>
      </c>
      <c r="I336" s="37">
        <f t="shared" si="11"/>
        <v>21</v>
      </c>
    </row>
    <row r="337" ht="14.25" customHeight="1" spans="1:9">
      <c r="A337" s="34">
        <v>43956</v>
      </c>
      <c r="B337" s="35" t="s">
        <v>22</v>
      </c>
      <c r="C337" s="35">
        <v>203832</v>
      </c>
      <c r="D337" s="35">
        <v>20880142.5</v>
      </c>
      <c r="E337" s="32">
        <v>54</v>
      </c>
      <c r="F337" s="32">
        <v>12775</v>
      </c>
      <c r="G337" s="32">
        <v>11887</v>
      </c>
      <c r="H337" s="33">
        <f t="shared" si="10"/>
        <v>386669.305555556</v>
      </c>
      <c r="I337" s="37">
        <f t="shared" si="11"/>
        <v>19</v>
      </c>
    </row>
    <row r="338" ht="14.25" customHeight="1" spans="1:9">
      <c r="A338" s="30">
        <v>43964</v>
      </c>
      <c r="B338" s="31" t="s">
        <v>22</v>
      </c>
      <c r="C338" s="31">
        <v>188662.5</v>
      </c>
      <c r="D338" s="31">
        <v>18784000.5</v>
      </c>
      <c r="E338" s="32">
        <v>54</v>
      </c>
      <c r="F338" s="32">
        <v>11522</v>
      </c>
      <c r="G338" s="32">
        <v>10803</v>
      </c>
      <c r="H338" s="33">
        <f t="shared" si="10"/>
        <v>347851.861111111</v>
      </c>
      <c r="I338" s="37">
        <f t="shared" si="11"/>
        <v>20</v>
      </c>
    </row>
    <row r="339" ht="14.25" customHeight="1" spans="1:9">
      <c r="A339" s="34">
        <v>43982</v>
      </c>
      <c r="B339" s="35" t="s">
        <v>21</v>
      </c>
      <c r="C339" s="35">
        <v>215277</v>
      </c>
      <c r="D339" s="35">
        <v>21585316.5</v>
      </c>
      <c r="E339" s="32">
        <v>59</v>
      </c>
      <c r="F339" s="32">
        <v>13684</v>
      </c>
      <c r="G339" s="32">
        <v>12690</v>
      </c>
      <c r="H339" s="33">
        <f t="shared" si="10"/>
        <v>365852.822033898</v>
      </c>
      <c r="I339" s="37">
        <f t="shared" si="11"/>
        <v>22</v>
      </c>
    </row>
    <row r="340" ht="14.25" customHeight="1" spans="1:9">
      <c r="A340" s="30">
        <v>43954</v>
      </c>
      <c r="B340" s="31" t="s">
        <v>22</v>
      </c>
      <c r="C340" s="31">
        <v>248148</v>
      </c>
      <c r="D340" s="31">
        <v>25519072.5</v>
      </c>
      <c r="E340" s="32">
        <v>54</v>
      </c>
      <c r="F340" s="32">
        <v>14823</v>
      </c>
      <c r="G340" s="32">
        <v>13751</v>
      </c>
      <c r="H340" s="33">
        <f t="shared" si="10"/>
        <v>472575.416666667</v>
      </c>
      <c r="I340" s="37">
        <f t="shared" si="11"/>
        <v>18</v>
      </c>
    </row>
    <row r="341" ht="14.25" customHeight="1" spans="1:9">
      <c r="A341" s="34">
        <v>43981</v>
      </c>
      <c r="B341" s="35" t="s">
        <v>21</v>
      </c>
      <c r="C341" s="35">
        <v>246414</v>
      </c>
      <c r="D341" s="35">
        <v>24527245.5</v>
      </c>
      <c r="E341" s="32">
        <v>59</v>
      </c>
      <c r="F341" s="32">
        <v>15030</v>
      </c>
      <c r="G341" s="32">
        <v>13956</v>
      </c>
      <c r="H341" s="33">
        <f t="shared" si="10"/>
        <v>415716.025423729</v>
      </c>
      <c r="I341" s="37">
        <f t="shared" si="11"/>
        <v>22</v>
      </c>
    </row>
    <row r="342" ht="14.25" customHeight="1" spans="1:9">
      <c r="A342" s="30">
        <v>43957</v>
      </c>
      <c r="B342" s="31" t="s">
        <v>22</v>
      </c>
      <c r="C342" s="31">
        <v>216498</v>
      </c>
      <c r="D342" s="31">
        <v>22126444.5</v>
      </c>
      <c r="E342" s="32">
        <v>54</v>
      </c>
      <c r="F342" s="32">
        <v>13406</v>
      </c>
      <c r="G342" s="32">
        <v>12518</v>
      </c>
      <c r="H342" s="33">
        <f t="shared" si="10"/>
        <v>409748.972222222</v>
      </c>
      <c r="I342" s="37">
        <f t="shared" si="11"/>
        <v>19</v>
      </c>
    </row>
    <row r="343" ht="14.25" customHeight="1" spans="1:9">
      <c r="A343" s="34">
        <v>43974</v>
      </c>
      <c r="B343" s="35" t="s">
        <v>22</v>
      </c>
      <c r="C343" s="35">
        <v>275793</v>
      </c>
      <c r="D343" s="35">
        <v>26806626</v>
      </c>
      <c r="E343" s="32">
        <v>54</v>
      </c>
      <c r="F343" s="32">
        <v>16221</v>
      </c>
      <c r="G343" s="32">
        <v>15065</v>
      </c>
      <c r="H343" s="33">
        <f t="shared" si="10"/>
        <v>496419</v>
      </c>
      <c r="I343" s="37">
        <f t="shared" si="11"/>
        <v>21</v>
      </c>
    </row>
    <row r="344" ht="14.25" customHeight="1" spans="1:9">
      <c r="A344" s="30">
        <v>43979</v>
      </c>
      <c r="B344" s="31" t="s">
        <v>21</v>
      </c>
      <c r="C344" s="31">
        <v>199753.5</v>
      </c>
      <c r="D344" s="31">
        <v>20535733.5</v>
      </c>
      <c r="E344" s="32">
        <v>60</v>
      </c>
      <c r="F344" s="32">
        <v>12854</v>
      </c>
      <c r="G344" s="32">
        <v>11954</v>
      </c>
      <c r="H344" s="33">
        <f t="shared" si="10"/>
        <v>342262.225</v>
      </c>
      <c r="I344" s="37">
        <f t="shared" si="11"/>
        <v>22</v>
      </c>
    </row>
    <row r="345" ht="14.25" customHeight="1" spans="1:9">
      <c r="A345" s="34">
        <v>43976</v>
      </c>
      <c r="B345" s="35" t="s">
        <v>22</v>
      </c>
      <c r="C345" s="35">
        <v>192948</v>
      </c>
      <c r="D345" s="35">
        <v>19806927</v>
      </c>
      <c r="E345" s="32">
        <v>54</v>
      </c>
      <c r="F345" s="32">
        <v>12336</v>
      </c>
      <c r="G345" s="32">
        <v>11519</v>
      </c>
      <c r="H345" s="33">
        <f t="shared" si="10"/>
        <v>366794.944444444</v>
      </c>
      <c r="I345" s="37">
        <f t="shared" si="11"/>
        <v>22</v>
      </c>
    </row>
    <row r="346" ht="14.25" customHeight="1" spans="1:9">
      <c r="A346" s="30">
        <v>43951</v>
      </c>
      <c r="B346" s="31" t="s">
        <v>22</v>
      </c>
      <c r="C346" s="31">
        <v>206038.5</v>
      </c>
      <c r="D346" s="31">
        <v>21740460</v>
      </c>
      <c r="E346" s="32">
        <v>54</v>
      </c>
      <c r="F346" s="32">
        <v>12817</v>
      </c>
      <c r="G346" s="32">
        <v>11865</v>
      </c>
      <c r="H346" s="33">
        <f t="shared" si="10"/>
        <v>402601.111111111</v>
      </c>
      <c r="I346" s="37">
        <f t="shared" si="11"/>
        <v>18</v>
      </c>
    </row>
    <row r="347" ht="14.25" customHeight="1" spans="1:9">
      <c r="A347" s="34">
        <v>43961</v>
      </c>
      <c r="B347" s="35" t="s">
        <v>22</v>
      </c>
      <c r="C347" s="35">
        <v>231559.5</v>
      </c>
      <c r="D347" s="35">
        <v>23443725</v>
      </c>
      <c r="E347" s="32">
        <v>54</v>
      </c>
      <c r="F347" s="32">
        <v>13832</v>
      </c>
      <c r="G347" s="32">
        <v>12864</v>
      </c>
      <c r="H347" s="33">
        <f t="shared" si="10"/>
        <v>434143.055555556</v>
      </c>
      <c r="I347" s="37">
        <f t="shared" si="11"/>
        <v>19</v>
      </c>
    </row>
    <row r="348" ht="14.25" customHeight="1" spans="1:9">
      <c r="A348" s="30">
        <v>43959</v>
      </c>
      <c r="B348" s="31" t="s">
        <v>22</v>
      </c>
      <c r="C348" s="31">
        <v>225076.5</v>
      </c>
      <c r="D348" s="31">
        <v>22846078.5</v>
      </c>
      <c r="E348" s="32">
        <v>54</v>
      </c>
      <c r="F348" s="32">
        <v>13563</v>
      </c>
      <c r="G348" s="32">
        <v>12604</v>
      </c>
      <c r="H348" s="33">
        <f t="shared" si="10"/>
        <v>423075.527777778</v>
      </c>
      <c r="I348" s="37">
        <f t="shared" si="11"/>
        <v>19</v>
      </c>
    </row>
    <row r="349" ht="14.25" customHeight="1" spans="1:9">
      <c r="A349" s="34">
        <v>43958</v>
      </c>
      <c r="B349" s="35" t="s">
        <v>22</v>
      </c>
      <c r="C349" s="35">
        <v>209415</v>
      </c>
      <c r="D349" s="35">
        <v>21463023</v>
      </c>
      <c r="E349" s="32">
        <v>54</v>
      </c>
      <c r="F349" s="32">
        <v>12743</v>
      </c>
      <c r="G349" s="32">
        <v>11858</v>
      </c>
      <c r="H349" s="33">
        <f t="shared" si="10"/>
        <v>397463.388888889</v>
      </c>
      <c r="I349" s="37">
        <f t="shared" si="11"/>
        <v>19</v>
      </c>
    </row>
    <row r="350" ht="14.25" customHeight="1" spans="1:9">
      <c r="A350" s="30">
        <v>43975</v>
      </c>
      <c r="B350" s="31" t="s">
        <v>22</v>
      </c>
      <c r="C350" s="31">
        <v>193719</v>
      </c>
      <c r="D350" s="31">
        <v>19071117</v>
      </c>
      <c r="E350" s="32">
        <v>54</v>
      </c>
      <c r="F350" s="32">
        <v>12211</v>
      </c>
      <c r="G350" s="32">
        <v>11427</v>
      </c>
      <c r="H350" s="33">
        <f t="shared" si="10"/>
        <v>353168.833333333</v>
      </c>
      <c r="I350" s="37">
        <f t="shared" si="11"/>
        <v>21</v>
      </c>
    </row>
    <row r="351" ht="14.25" customHeight="1" spans="1:9">
      <c r="A351" s="34">
        <v>43950</v>
      </c>
      <c r="B351" s="35" t="s">
        <v>23</v>
      </c>
      <c r="C351" s="35">
        <v>12250.5</v>
      </c>
      <c r="D351" s="35">
        <v>981519</v>
      </c>
      <c r="E351" s="32">
        <v>15</v>
      </c>
      <c r="F351" s="32">
        <v>659</v>
      </c>
      <c r="G351" s="32">
        <v>575</v>
      </c>
      <c r="H351" s="33">
        <f t="shared" si="10"/>
        <v>65434.6</v>
      </c>
      <c r="I351" s="37">
        <f t="shared" si="11"/>
        <v>18</v>
      </c>
    </row>
    <row r="352" ht="14.25" customHeight="1" spans="1:9">
      <c r="A352" s="30">
        <v>43949</v>
      </c>
      <c r="B352" s="31" t="s">
        <v>23</v>
      </c>
      <c r="C352" s="31">
        <v>12541.5</v>
      </c>
      <c r="D352" s="31">
        <v>992541</v>
      </c>
      <c r="E352" s="32">
        <v>15</v>
      </c>
      <c r="F352" s="32">
        <v>636</v>
      </c>
      <c r="G352" s="32">
        <v>547</v>
      </c>
      <c r="H352" s="33">
        <f t="shared" si="10"/>
        <v>66169.4</v>
      </c>
      <c r="I352" s="37">
        <f t="shared" si="11"/>
        <v>18</v>
      </c>
    </row>
    <row r="353" ht="14.25" customHeight="1" spans="1:9">
      <c r="A353" s="34">
        <v>43982</v>
      </c>
      <c r="B353" s="35" t="s">
        <v>22</v>
      </c>
      <c r="C353" s="35">
        <v>206758.5</v>
      </c>
      <c r="D353" s="35">
        <v>20717248.5</v>
      </c>
      <c r="E353" s="32">
        <v>54</v>
      </c>
      <c r="F353" s="32">
        <v>13106</v>
      </c>
      <c r="G353" s="32">
        <v>12164</v>
      </c>
      <c r="H353" s="33">
        <f t="shared" si="10"/>
        <v>383652.75</v>
      </c>
      <c r="I353" s="37">
        <f t="shared" si="11"/>
        <v>22</v>
      </c>
    </row>
    <row r="354" ht="14.25" customHeight="1" spans="1:9">
      <c r="A354" s="30">
        <v>43981</v>
      </c>
      <c r="B354" s="31" t="s">
        <v>22</v>
      </c>
      <c r="C354" s="31">
        <v>244734</v>
      </c>
      <c r="D354" s="31">
        <v>24151980</v>
      </c>
      <c r="E354" s="32">
        <v>54</v>
      </c>
      <c r="F354" s="32">
        <v>14590</v>
      </c>
      <c r="G354" s="32">
        <v>13551</v>
      </c>
      <c r="H354" s="33">
        <f t="shared" si="10"/>
        <v>447258.888888889</v>
      </c>
      <c r="I354" s="37">
        <f t="shared" si="11"/>
        <v>22</v>
      </c>
    </row>
    <row r="355" ht="14.25" customHeight="1" spans="1:9">
      <c r="A355" s="34">
        <v>43979</v>
      </c>
      <c r="B355" s="35" t="s">
        <v>22</v>
      </c>
      <c r="C355" s="35">
        <v>191641.5</v>
      </c>
      <c r="D355" s="35">
        <v>19549036.5</v>
      </c>
      <c r="E355" s="32">
        <v>54</v>
      </c>
      <c r="F355" s="32">
        <v>12409</v>
      </c>
      <c r="G355" s="32">
        <v>11582</v>
      </c>
      <c r="H355" s="33">
        <f t="shared" si="10"/>
        <v>362019.194444444</v>
      </c>
      <c r="I355" s="37">
        <f t="shared" si="11"/>
        <v>22</v>
      </c>
    </row>
    <row r="356" ht="14.25" customHeight="1" spans="1:9">
      <c r="A356" s="30">
        <v>43967</v>
      </c>
      <c r="B356" s="31" t="s">
        <v>23</v>
      </c>
      <c r="C356" s="31">
        <v>16368</v>
      </c>
      <c r="D356" s="31">
        <v>1316350.5</v>
      </c>
      <c r="E356" s="32">
        <v>16</v>
      </c>
      <c r="F356" s="32">
        <v>920</v>
      </c>
      <c r="G356" s="32">
        <v>818</v>
      </c>
      <c r="H356" s="33">
        <f t="shared" si="10"/>
        <v>82271.90625</v>
      </c>
      <c r="I356" s="37">
        <f t="shared" si="11"/>
        <v>20</v>
      </c>
    </row>
    <row r="357" ht="14.25" customHeight="1" spans="1:9">
      <c r="A357" s="34">
        <v>43970</v>
      </c>
      <c r="B357" s="35" t="s">
        <v>23</v>
      </c>
      <c r="C357" s="35">
        <v>14427</v>
      </c>
      <c r="D357" s="35">
        <v>1126810.5</v>
      </c>
      <c r="E357" s="32">
        <v>17</v>
      </c>
      <c r="F357" s="32">
        <v>857</v>
      </c>
      <c r="G357" s="32">
        <v>757</v>
      </c>
      <c r="H357" s="33">
        <f t="shared" si="10"/>
        <v>66282.9705882353</v>
      </c>
      <c r="I357" s="37">
        <f t="shared" si="11"/>
        <v>21</v>
      </c>
    </row>
    <row r="358" ht="14.25" customHeight="1" spans="1:9">
      <c r="A358" s="30">
        <v>43968</v>
      </c>
      <c r="B358" s="31" t="s">
        <v>23</v>
      </c>
      <c r="C358" s="31">
        <v>13440</v>
      </c>
      <c r="D358" s="31">
        <v>1157529</v>
      </c>
      <c r="E358" s="32">
        <v>16</v>
      </c>
      <c r="F358" s="32">
        <v>859</v>
      </c>
      <c r="G358" s="32">
        <v>746</v>
      </c>
      <c r="H358" s="33">
        <f t="shared" si="10"/>
        <v>72345.5625</v>
      </c>
      <c r="I358" s="37">
        <f t="shared" si="11"/>
        <v>20</v>
      </c>
    </row>
    <row r="359" ht="14.25" customHeight="1" spans="1:9">
      <c r="A359" s="34">
        <v>43960</v>
      </c>
      <c r="B359" s="35" t="s">
        <v>23</v>
      </c>
      <c r="C359" s="35">
        <v>11745</v>
      </c>
      <c r="D359" s="35">
        <v>955801.5</v>
      </c>
      <c r="E359" s="32">
        <v>15</v>
      </c>
      <c r="F359" s="32">
        <v>654</v>
      </c>
      <c r="G359" s="32">
        <v>570</v>
      </c>
      <c r="H359" s="33">
        <f t="shared" si="10"/>
        <v>63720.1</v>
      </c>
      <c r="I359" s="37">
        <f t="shared" si="11"/>
        <v>19</v>
      </c>
    </row>
    <row r="360" ht="14.25" customHeight="1" spans="1:9">
      <c r="A360" s="30">
        <v>43955</v>
      </c>
      <c r="B360" s="31" t="s">
        <v>23</v>
      </c>
      <c r="C360" s="31">
        <v>11062.5</v>
      </c>
      <c r="D360" s="31">
        <v>906343.5</v>
      </c>
      <c r="E360" s="32">
        <v>15</v>
      </c>
      <c r="F360" s="32">
        <v>622</v>
      </c>
      <c r="G360" s="32">
        <v>538</v>
      </c>
      <c r="H360" s="33">
        <f t="shared" si="10"/>
        <v>60422.9</v>
      </c>
      <c r="I360" s="37">
        <f t="shared" si="11"/>
        <v>19</v>
      </c>
    </row>
    <row r="361" ht="14.25" customHeight="1" spans="1:9">
      <c r="A361" s="34">
        <v>43953</v>
      </c>
      <c r="B361" s="35" t="s">
        <v>23</v>
      </c>
      <c r="C361" s="35">
        <v>10018.5</v>
      </c>
      <c r="D361" s="35">
        <v>816859.5</v>
      </c>
      <c r="E361" s="32">
        <v>15</v>
      </c>
      <c r="F361" s="32">
        <v>567</v>
      </c>
      <c r="G361" s="32">
        <v>493</v>
      </c>
      <c r="H361" s="33">
        <f t="shared" si="10"/>
        <v>54457.3</v>
      </c>
      <c r="I361" s="37">
        <f t="shared" si="11"/>
        <v>18</v>
      </c>
    </row>
    <row r="362" ht="14.25" customHeight="1" spans="1:9">
      <c r="A362" s="30">
        <v>43977</v>
      </c>
      <c r="B362" s="31" t="s">
        <v>24</v>
      </c>
      <c r="C362" s="31">
        <v>10437</v>
      </c>
      <c r="D362" s="31">
        <v>833815.5</v>
      </c>
      <c r="E362" s="32">
        <v>7</v>
      </c>
      <c r="F362" s="32">
        <v>577</v>
      </c>
      <c r="G362" s="32">
        <v>389</v>
      </c>
      <c r="H362" s="33">
        <f t="shared" si="10"/>
        <v>119116.5</v>
      </c>
      <c r="I362" s="37">
        <f t="shared" si="11"/>
        <v>22</v>
      </c>
    </row>
    <row r="363" ht="14.25" customHeight="1" spans="1:9">
      <c r="A363" s="34">
        <v>43952</v>
      </c>
      <c r="B363" s="35" t="s">
        <v>23</v>
      </c>
      <c r="C363" s="35">
        <v>13644</v>
      </c>
      <c r="D363" s="35">
        <v>1134444</v>
      </c>
      <c r="E363" s="32">
        <v>15</v>
      </c>
      <c r="F363" s="32">
        <v>721</v>
      </c>
      <c r="G363" s="32">
        <v>625</v>
      </c>
      <c r="H363" s="33">
        <f t="shared" si="10"/>
        <v>75629.6</v>
      </c>
      <c r="I363" s="37">
        <f t="shared" si="11"/>
        <v>18</v>
      </c>
    </row>
    <row r="364" ht="14.25" customHeight="1" spans="1:9">
      <c r="A364" s="30">
        <v>43963</v>
      </c>
      <c r="B364" s="31" t="s">
        <v>23</v>
      </c>
      <c r="C364" s="31">
        <v>13443</v>
      </c>
      <c r="D364" s="31">
        <v>1092277.5</v>
      </c>
      <c r="E364" s="32">
        <v>15</v>
      </c>
      <c r="F364" s="32">
        <v>750</v>
      </c>
      <c r="G364" s="32">
        <v>659</v>
      </c>
      <c r="H364" s="33">
        <f t="shared" si="10"/>
        <v>72818.5</v>
      </c>
      <c r="I364" s="37">
        <f t="shared" si="11"/>
        <v>20</v>
      </c>
    </row>
    <row r="365" ht="14.25" customHeight="1" spans="1:9">
      <c r="A365" s="34">
        <v>43972</v>
      </c>
      <c r="B365" s="35" t="s">
        <v>23</v>
      </c>
      <c r="C365" s="35">
        <v>14182.5</v>
      </c>
      <c r="D365" s="35">
        <v>1172574</v>
      </c>
      <c r="E365" s="32">
        <v>18</v>
      </c>
      <c r="F365" s="32">
        <v>888</v>
      </c>
      <c r="G365" s="32">
        <v>786</v>
      </c>
      <c r="H365" s="33">
        <f t="shared" si="10"/>
        <v>65143</v>
      </c>
      <c r="I365" s="37">
        <f t="shared" si="11"/>
        <v>21</v>
      </c>
    </row>
    <row r="366" ht="14.25" customHeight="1" spans="1:9">
      <c r="A366" s="30">
        <v>43971</v>
      </c>
      <c r="B366" s="31" t="s">
        <v>23</v>
      </c>
      <c r="C366" s="31">
        <v>14928</v>
      </c>
      <c r="D366" s="31">
        <v>1217749.5</v>
      </c>
      <c r="E366" s="32">
        <v>17</v>
      </c>
      <c r="F366" s="32">
        <v>890</v>
      </c>
      <c r="G366" s="32">
        <v>794</v>
      </c>
      <c r="H366" s="33">
        <f t="shared" si="10"/>
        <v>71632.3235294118</v>
      </c>
      <c r="I366" s="37">
        <f t="shared" si="11"/>
        <v>21</v>
      </c>
    </row>
    <row r="367" ht="14.25" customHeight="1" spans="1:9">
      <c r="A367" s="34">
        <v>43956</v>
      </c>
      <c r="B367" s="35" t="s">
        <v>23</v>
      </c>
      <c r="C367" s="35">
        <v>13941</v>
      </c>
      <c r="D367" s="35">
        <v>1145575.5</v>
      </c>
      <c r="E367" s="32">
        <v>15</v>
      </c>
      <c r="F367" s="32">
        <v>750</v>
      </c>
      <c r="G367" s="32">
        <v>658</v>
      </c>
      <c r="H367" s="33">
        <f t="shared" si="10"/>
        <v>76371.7</v>
      </c>
      <c r="I367" s="37">
        <f t="shared" si="11"/>
        <v>19</v>
      </c>
    </row>
    <row r="368" ht="14.25" customHeight="1" spans="1:9">
      <c r="A368" s="30">
        <v>43964</v>
      </c>
      <c r="B368" s="31" t="s">
        <v>23</v>
      </c>
      <c r="C368" s="31">
        <v>14643</v>
      </c>
      <c r="D368" s="31">
        <v>1172691</v>
      </c>
      <c r="E368" s="32">
        <v>15</v>
      </c>
      <c r="F368" s="32">
        <v>854</v>
      </c>
      <c r="G368" s="32">
        <v>756</v>
      </c>
      <c r="H368" s="33">
        <f t="shared" si="10"/>
        <v>78179.4</v>
      </c>
      <c r="I368" s="37">
        <f t="shared" si="11"/>
        <v>20</v>
      </c>
    </row>
    <row r="369" ht="14.25" customHeight="1" spans="1:9">
      <c r="A369" s="34">
        <v>43954</v>
      </c>
      <c r="B369" s="35" t="s">
        <v>23</v>
      </c>
      <c r="C369" s="35">
        <v>10032</v>
      </c>
      <c r="D369" s="35">
        <v>816150</v>
      </c>
      <c r="E369" s="32">
        <v>15</v>
      </c>
      <c r="F369" s="32">
        <v>585</v>
      </c>
      <c r="G369" s="32">
        <v>502</v>
      </c>
      <c r="H369" s="33">
        <f t="shared" si="10"/>
        <v>54410</v>
      </c>
      <c r="I369" s="37">
        <f t="shared" si="11"/>
        <v>18</v>
      </c>
    </row>
    <row r="370" ht="14.25" customHeight="1" spans="1:9">
      <c r="A370" s="30">
        <v>43957</v>
      </c>
      <c r="B370" s="31" t="s">
        <v>23</v>
      </c>
      <c r="C370" s="31">
        <v>12468</v>
      </c>
      <c r="D370" s="31">
        <v>1016566.5</v>
      </c>
      <c r="E370" s="32">
        <v>15</v>
      </c>
      <c r="F370" s="32">
        <v>701</v>
      </c>
      <c r="G370" s="32">
        <v>611</v>
      </c>
      <c r="H370" s="33">
        <f t="shared" si="10"/>
        <v>67771.1</v>
      </c>
      <c r="I370" s="37">
        <f t="shared" si="11"/>
        <v>19</v>
      </c>
    </row>
    <row r="371" ht="14.25" customHeight="1" spans="1:9">
      <c r="A371" s="34">
        <v>43974</v>
      </c>
      <c r="B371" s="35" t="s">
        <v>23</v>
      </c>
      <c r="C371" s="35">
        <v>17943</v>
      </c>
      <c r="D371" s="35">
        <v>1457391</v>
      </c>
      <c r="E371" s="32">
        <v>18</v>
      </c>
      <c r="F371" s="32">
        <v>1031</v>
      </c>
      <c r="G371" s="32">
        <v>918</v>
      </c>
      <c r="H371" s="33">
        <f t="shared" si="10"/>
        <v>80966.1666666667</v>
      </c>
      <c r="I371" s="37">
        <f t="shared" si="11"/>
        <v>21</v>
      </c>
    </row>
    <row r="372" ht="14.25" customHeight="1" spans="1:9">
      <c r="A372" s="30">
        <v>43976</v>
      </c>
      <c r="B372" s="31" t="s">
        <v>23</v>
      </c>
      <c r="C372" s="31">
        <v>15807</v>
      </c>
      <c r="D372" s="31">
        <v>1326705</v>
      </c>
      <c r="E372" s="32">
        <v>18</v>
      </c>
      <c r="F372" s="32">
        <v>989</v>
      </c>
      <c r="G372" s="32">
        <v>887</v>
      </c>
      <c r="H372" s="33">
        <f t="shared" si="10"/>
        <v>73705.8333333333</v>
      </c>
      <c r="I372" s="37">
        <f t="shared" si="11"/>
        <v>22</v>
      </c>
    </row>
    <row r="373" ht="14.25" customHeight="1" spans="1:9">
      <c r="A373" s="34">
        <v>43951</v>
      </c>
      <c r="B373" s="35" t="s">
        <v>23</v>
      </c>
      <c r="C373" s="35">
        <v>11976</v>
      </c>
      <c r="D373" s="35">
        <v>1004511</v>
      </c>
      <c r="E373" s="32">
        <v>15</v>
      </c>
      <c r="F373" s="32">
        <v>644</v>
      </c>
      <c r="G373" s="32">
        <v>550</v>
      </c>
      <c r="H373" s="33">
        <f t="shared" si="10"/>
        <v>66967.4</v>
      </c>
      <c r="I373" s="37">
        <f t="shared" si="11"/>
        <v>18</v>
      </c>
    </row>
    <row r="374" ht="14.25" customHeight="1" spans="1:9">
      <c r="A374" s="30">
        <v>43961</v>
      </c>
      <c r="B374" s="31" t="s">
        <v>23</v>
      </c>
      <c r="C374" s="31">
        <v>14566.5</v>
      </c>
      <c r="D374" s="31">
        <v>1216557</v>
      </c>
      <c r="E374" s="32">
        <v>15</v>
      </c>
      <c r="F374" s="32">
        <v>792</v>
      </c>
      <c r="G374" s="32">
        <v>695</v>
      </c>
      <c r="H374" s="33">
        <f t="shared" si="10"/>
        <v>81103.8</v>
      </c>
      <c r="I374" s="37">
        <f t="shared" si="11"/>
        <v>19</v>
      </c>
    </row>
    <row r="375" ht="14.25" customHeight="1" spans="1:9">
      <c r="A375" s="34">
        <v>43959</v>
      </c>
      <c r="B375" s="35" t="s">
        <v>23</v>
      </c>
      <c r="C375" s="35">
        <v>12976.5</v>
      </c>
      <c r="D375" s="35">
        <v>1046848.5</v>
      </c>
      <c r="E375" s="32">
        <v>15</v>
      </c>
      <c r="F375" s="32">
        <v>703</v>
      </c>
      <c r="G375" s="32">
        <v>609</v>
      </c>
      <c r="H375" s="33">
        <f t="shared" si="10"/>
        <v>69789.9</v>
      </c>
      <c r="I375" s="37">
        <f t="shared" si="11"/>
        <v>19</v>
      </c>
    </row>
    <row r="376" ht="14.25" customHeight="1" spans="1:9">
      <c r="A376" s="30">
        <v>43958</v>
      </c>
      <c r="B376" s="31" t="s">
        <v>23</v>
      </c>
      <c r="C376" s="31">
        <v>11719.5</v>
      </c>
      <c r="D376" s="31">
        <v>965880</v>
      </c>
      <c r="E376" s="32">
        <v>15</v>
      </c>
      <c r="F376" s="32">
        <v>676</v>
      </c>
      <c r="G376" s="32">
        <v>591</v>
      </c>
      <c r="H376" s="33">
        <f t="shared" si="10"/>
        <v>64392</v>
      </c>
      <c r="I376" s="37">
        <f t="shared" si="11"/>
        <v>19</v>
      </c>
    </row>
    <row r="377" ht="14.25" customHeight="1" spans="1:9">
      <c r="A377" s="34">
        <v>43975</v>
      </c>
      <c r="B377" s="35" t="s">
        <v>23</v>
      </c>
      <c r="C377" s="35">
        <v>17197.5</v>
      </c>
      <c r="D377" s="35">
        <v>1386262.5</v>
      </c>
      <c r="E377" s="32">
        <v>18</v>
      </c>
      <c r="F377" s="32">
        <v>1006</v>
      </c>
      <c r="G377" s="32">
        <v>904</v>
      </c>
      <c r="H377" s="33">
        <f t="shared" si="10"/>
        <v>77014.5833333333</v>
      </c>
      <c r="I377" s="37">
        <f t="shared" si="11"/>
        <v>21</v>
      </c>
    </row>
    <row r="378" ht="14.25" customHeight="1" spans="1:9">
      <c r="A378" s="30">
        <v>43977</v>
      </c>
      <c r="B378" s="31" t="s">
        <v>23</v>
      </c>
      <c r="C378" s="31">
        <v>14419.5</v>
      </c>
      <c r="D378" s="31">
        <v>1210456.5</v>
      </c>
      <c r="E378" s="32">
        <v>18</v>
      </c>
      <c r="F378" s="32">
        <v>914</v>
      </c>
      <c r="G378" s="32">
        <v>804</v>
      </c>
      <c r="H378" s="33">
        <f t="shared" si="10"/>
        <v>67247.5833333333</v>
      </c>
      <c r="I378" s="37">
        <f t="shared" si="11"/>
        <v>22</v>
      </c>
    </row>
    <row r="379" ht="14.25" customHeight="1" spans="1:9">
      <c r="A379" s="34">
        <v>43983</v>
      </c>
      <c r="B379" s="35" t="s">
        <v>9</v>
      </c>
      <c r="C379" s="35">
        <v>7816.5</v>
      </c>
      <c r="D379" s="35">
        <v>636345</v>
      </c>
      <c r="E379" s="32">
        <v>15</v>
      </c>
      <c r="F379" s="32">
        <v>453</v>
      </c>
      <c r="G379" s="32">
        <v>370</v>
      </c>
      <c r="H379" s="33">
        <f t="shared" si="10"/>
        <v>42423</v>
      </c>
      <c r="I379" s="37">
        <f t="shared" si="11"/>
        <v>23</v>
      </c>
    </row>
    <row r="380" ht="14.25" customHeight="1" spans="1:9">
      <c r="A380" s="30">
        <v>43982</v>
      </c>
      <c r="B380" s="31" t="s">
        <v>25</v>
      </c>
      <c r="C380" s="31">
        <v>6409.5</v>
      </c>
      <c r="D380" s="31">
        <v>493893</v>
      </c>
      <c r="E380" s="32">
        <v>9</v>
      </c>
      <c r="F380" s="32">
        <v>345</v>
      </c>
      <c r="G380" s="32">
        <v>255</v>
      </c>
      <c r="H380" s="33">
        <f t="shared" si="10"/>
        <v>54877</v>
      </c>
      <c r="I380" s="37">
        <f t="shared" si="11"/>
        <v>22</v>
      </c>
    </row>
    <row r="381" ht="14.25" customHeight="1" spans="1:9">
      <c r="A381" s="34">
        <v>43981</v>
      </c>
      <c r="B381" s="35" t="s">
        <v>24</v>
      </c>
      <c r="C381" s="35">
        <v>11220</v>
      </c>
      <c r="D381" s="35">
        <v>928675.5</v>
      </c>
      <c r="E381" s="32">
        <v>7</v>
      </c>
      <c r="F381" s="32">
        <v>532</v>
      </c>
      <c r="G381" s="32">
        <v>449</v>
      </c>
      <c r="H381" s="33">
        <f t="shared" si="10"/>
        <v>132667.928571429</v>
      </c>
      <c r="I381" s="37">
        <f t="shared" si="11"/>
        <v>22</v>
      </c>
    </row>
    <row r="382" ht="14.25" customHeight="1" spans="1:9">
      <c r="A382" s="30">
        <v>43980</v>
      </c>
      <c r="B382" s="31" t="s">
        <v>9</v>
      </c>
      <c r="C382" s="31">
        <v>8350.5</v>
      </c>
      <c r="D382" s="31">
        <v>651237</v>
      </c>
      <c r="E382" s="32">
        <v>15</v>
      </c>
      <c r="F382" s="32">
        <v>400</v>
      </c>
      <c r="G382" s="32">
        <v>329</v>
      </c>
      <c r="H382" s="33">
        <f t="shared" si="10"/>
        <v>43415.8</v>
      </c>
      <c r="I382" s="37">
        <f t="shared" si="11"/>
        <v>22</v>
      </c>
    </row>
    <row r="383" ht="14.25" customHeight="1" spans="1:9">
      <c r="A383" s="34">
        <v>43979</v>
      </c>
      <c r="B383" s="35" t="s">
        <v>24</v>
      </c>
      <c r="C383" s="35">
        <v>8428.5</v>
      </c>
      <c r="D383" s="35">
        <v>694669.5</v>
      </c>
      <c r="E383" s="32">
        <v>7</v>
      </c>
      <c r="F383" s="32">
        <v>420</v>
      </c>
      <c r="G383" s="32">
        <v>347</v>
      </c>
      <c r="H383" s="33">
        <f t="shared" si="10"/>
        <v>99238.5</v>
      </c>
      <c r="I383" s="37">
        <f t="shared" si="11"/>
        <v>22</v>
      </c>
    </row>
    <row r="384" ht="14.25" customHeight="1" spans="1:9">
      <c r="A384" s="30">
        <v>43978</v>
      </c>
      <c r="B384" s="31" t="s">
        <v>10</v>
      </c>
      <c r="C384" s="31">
        <v>32817</v>
      </c>
      <c r="D384" s="31">
        <v>3015751.5</v>
      </c>
      <c r="E384" s="32">
        <v>20</v>
      </c>
      <c r="F384" s="32">
        <v>2079</v>
      </c>
      <c r="G384" s="32">
        <v>1893</v>
      </c>
      <c r="H384" s="33">
        <f t="shared" si="10"/>
        <v>150787.575</v>
      </c>
      <c r="I384" s="37">
        <f t="shared" si="11"/>
        <v>22</v>
      </c>
    </row>
    <row r="385" ht="14.25" customHeight="1" spans="1:9">
      <c r="A385" s="34">
        <v>43973</v>
      </c>
      <c r="B385" s="35" t="s">
        <v>10</v>
      </c>
      <c r="C385" s="35">
        <v>36031.5</v>
      </c>
      <c r="D385" s="35">
        <v>3091069.5</v>
      </c>
      <c r="E385" s="32">
        <v>21</v>
      </c>
      <c r="F385" s="32">
        <v>2046</v>
      </c>
      <c r="G385" s="32">
        <v>1853</v>
      </c>
      <c r="H385" s="33">
        <f t="shared" si="10"/>
        <v>147193.785714286</v>
      </c>
      <c r="I385" s="37">
        <f t="shared" si="11"/>
        <v>21</v>
      </c>
    </row>
    <row r="386" ht="14.25" customHeight="1" spans="1:9">
      <c r="A386" s="30">
        <v>43982</v>
      </c>
      <c r="B386" s="31" t="s">
        <v>26</v>
      </c>
      <c r="C386" s="31">
        <v>5127</v>
      </c>
      <c r="D386" s="31">
        <v>468835.5</v>
      </c>
      <c r="E386" s="32">
        <v>6</v>
      </c>
      <c r="F386" s="32">
        <v>261</v>
      </c>
      <c r="G386" s="32">
        <v>188</v>
      </c>
      <c r="H386" s="33">
        <f t="shared" si="10"/>
        <v>78139.25</v>
      </c>
      <c r="I386" s="37">
        <f t="shared" si="11"/>
        <v>22</v>
      </c>
    </row>
    <row r="387" ht="14.25" customHeight="1" spans="1:9">
      <c r="A387" s="34">
        <v>43962</v>
      </c>
      <c r="B387" s="35" t="s">
        <v>10</v>
      </c>
      <c r="C387" s="35">
        <v>27187.5</v>
      </c>
      <c r="D387" s="35">
        <v>2479396.5</v>
      </c>
      <c r="E387" s="32">
        <v>21</v>
      </c>
      <c r="F387" s="32">
        <v>1597</v>
      </c>
      <c r="G387" s="32">
        <v>1457</v>
      </c>
      <c r="H387" s="33">
        <f t="shared" ref="H387:H450" si="12">D387/E387</f>
        <v>118066.5</v>
      </c>
      <c r="I387" s="37">
        <f t="shared" ref="I387:I450" si="13">WEEKNUM(A387,2)</f>
        <v>20</v>
      </c>
    </row>
    <row r="388" ht="14.25" customHeight="1" spans="1:9">
      <c r="A388" s="30">
        <v>43981</v>
      </c>
      <c r="B388" s="31" t="s">
        <v>23</v>
      </c>
      <c r="C388" s="31">
        <v>20688</v>
      </c>
      <c r="D388" s="31">
        <v>1773154.5</v>
      </c>
      <c r="E388" s="32">
        <v>18</v>
      </c>
      <c r="F388" s="32">
        <v>1216</v>
      </c>
      <c r="G388" s="32">
        <v>1101</v>
      </c>
      <c r="H388" s="33">
        <f t="shared" si="12"/>
        <v>98508.5833333333</v>
      </c>
      <c r="I388" s="37">
        <f t="shared" si="13"/>
        <v>22</v>
      </c>
    </row>
    <row r="389" ht="14.25" customHeight="1" spans="1:9">
      <c r="A389" s="34">
        <v>43979</v>
      </c>
      <c r="B389" s="35" t="s">
        <v>23</v>
      </c>
      <c r="C389" s="35">
        <v>15678</v>
      </c>
      <c r="D389" s="35">
        <v>1387443</v>
      </c>
      <c r="E389" s="32">
        <v>18</v>
      </c>
      <c r="F389" s="32">
        <v>1020</v>
      </c>
      <c r="G389" s="32">
        <v>911</v>
      </c>
      <c r="H389" s="33">
        <f t="shared" si="12"/>
        <v>77080.1666666667</v>
      </c>
      <c r="I389" s="37">
        <f t="shared" si="13"/>
        <v>22</v>
      </c>
    </row>
    <row r="390" ht="14.25" customHeight="1" spans="1:9">
      <c r="A390" s="30">
        <v>43969</v>
      </c>
      <c r="B390" s="31" t="s">
        <v>10</v>
      </c>
      <c r="C390" s="31">
        <v>31329</v>
      </c>
      <c r="D390" s="31">
        <v>2826379.5</v>
      </c>
      <c r="E390" s="32">
        <v>21</v>
      </c>
      <c r="F390" s="32">
        <v>1834</v>
      </c>
      <c r="G390" s="32">
        <v>1660</v>
      </c>
      <c r="H390" s="33">
        <f t="shared" si="12"/>
        <v>134589.5</v>
      </c>
      <c r="I390" s="37">
        <f t="shared" si="13"/>
        <v>21</v>
      </c>
    </row>
    <row r="391" ht="14.25" customHeight="1" spans="1:9">
      <c r="A391" s="34">
        <v>43965</v>
      </c>
      <c r="B391" s="35" t="s">
        <v>10</v>
      </c>
      <c r="C391" s="35">
        <v>29658</v>
      </c>
      <c r="D391" s="35">
        <v>2703132</v>
      </c>
      <c r="E391" s="32">
        <v>21</v>
      </c>
      <c r="F391" s="32">
        <v>1706</v>
      </c>
      <c r="G391" s="32">
        <v>1548</v>
      </c>
      <c r="H391" s="33">
        <f t="shared" si="12"/>
        <v>128720.571428571</v>
      </c>
      <c r="I391" s="37">
        <f t="shared" si="13"/>
        <v>20</v>
      </c>
    </row>
    <row r="392" ht="14.25" customHeight="1" spans="1:9">
      <c r="A392" s="30">
        <v>43966</v>
      </c>
      <c r="B392" s="31" t="s">
        <v>10</v>
      </c>
      <c r="C392" s="31">
        <v>34150.5</v>
      </c>
      <c r="D392" s="31">
        <v>3038293.5</v>
      </c>
      <c r="E392" s="32">
        <v>21</v>
      </c>
      <c r="F392" s="32">
        <v>1926</v>
      </c>
      <c r="G392" s="32">
        <v>1742</v>
      </c>
      <c r="H392" s="33">
        <f t="shared" si="12"/>
        <v>144680.642857143</v>
      </c>
      <c r="I392" s="37">
        <f t="shared" si="13"/>
        <v>20</v>
      </c>
    </row>
    <row r="393" ht="14.25" customHeight="1" spans="1:9">
      <c r="A393" s="34">
        <v>43983</v>
      </c>
      <c r="B393" s="35" t="s">
        <v>10</v>
      </c>
      <c r="C393" s="35">
        <v>31947</v>
      </c>
      <c r="D393" s="35">
        <v>2945035.5</v>
      </c>
      <c r="E393" s="32">
        <v>21</v>
      </c>
      <c r="F393" s="32">
        <v>2025</v>
      </c>
      <c r="G393" s="32">
        <v>1849</v>
      </c>
      <c r="H393" s="33">
        <f t="shared" si="12"/>
        <v>140239.785714286</v>
      </c>
      <c r="I393" s="37">
        <f t="shared" si="13"/>
        <v>23</v>
      </c>
    </row>
    <row r="394" ht="14.25" customHeight="1" spans="1:9">
      <c r="A394" s="30">
        <v>43982</v>
      </c>
      <c r="B394" s="31" t="s">
        <v>24</v>
      </c>
      <c r="C394" s="31">
        <v>10416</v>
      </c>
      <c r="D394" s="31">
        <v>866023.5</v>
      </c>
      <c r="E394" s="32">
        <v>7</v>
      </c>
      <c r="F394" s="32">
        <v>530</v>
      </c>
      <c r="G394" s="32">
        <v>447</v>
      </c>
      <c r="H394" s="33">
        <f t="shared" si="12"/>
        <v>123717.642857143</v>
      </c>
      <c r="I394" s="37">
        <f t="shared" si="13"/>
        <v>22</v>
      </c>
    </row>
    <row r="395" ht="14.25" customHeight="1" spans="1:9">
      <c r="A395" s="34">
        <v>43980</v>
      </c>
      <c r="B395" s="35" t="s">
        <v>10</v>
      </c>
      <c r="C395" s="35">
        <v>35431.5</v>
      </c>
      <c r="D395" s="35">
        <v>3193167</v>
      </c>
      <c r="E395" s="32">
        <v>20</v>
      </c>
      <c r="F395" s="32">
        <v>2111</v>
      </c>
      <c r="G395" s="32">
        <v>1917</v>
      </c>
      <c r="H395" s="33">
        <f t="shared" si="12"/>
        <v>159658.35</v>
      </c>
      <c r="I395" s="37">
        <f t="shared" si="13"/>
        <v>22</v>
      </c>
    </row>
    <row r="396" ht="14.25" customHeight="1" spans="1:9">
      <c r="A396" s="30">
        <v>43978</v>
      </c>
      <c r="B396" s="31" t="s">
        <v>11</v>
      </c>
      <c r="C396" s="31">
        <v>78544.5</v>
      </c>
      <c r="D396" s="31">
        <v>6701083.5</v>
      </c>
      <c r="E396" s="32">
        <v>31</v>
      </c>
      <c r="F396" s="32">
        <v>5330</v>
      </c>
      <c r="G396" s="32">
        <v>4977</v>
      </c>
      <c r="H396" s="33">
        <f t="shared" si="12"/>
        <v>216163.983870968</v>
      </c>
      <c r="I396" s="37">
        <f t="shared" si="13"/>
        <v>22</v>
      </c>
    </row>
    <row r="397" ht="14.25" customHeight="1" spans="1:9">
      <c r="A397" s="34">
        <v>43973</v>
      </c>
      <c r="B397" s="35" t="s">
        <v>11</v>
      </c>
      <c r="C397" s="35">
        <v>97963.5</v>
      </c>
      <c r="D397" s="35">
        <v>7728465</v>
      </c>
      <c r="E397" s="32">
        <v>31</v>
      </c>
      <c r="F397" s="32">
        <v>5965</v>
      </c>
      <c r="G397" s="32">
        <v>5533</v>
      </c>
      <c r="H397" s="33">
        <f t="shared" si="12"/>
        <v>249305.322580645</v>
      </c>
      <c r="I397" s="37">
        <f t="shared" si="13"/>
        <v>21</v>
      </c>
    </row>
    <row r="398" ht="14.25" customHeight="1" spans="1:9">
      <c r="A398" s="30">
        <v>43983</v>
      </c>
      <c r="B398" s="31" t="s">
        <v>11</v>
      </c>
      <c r="C398" s="31">
        <v>77269.5</v>
      </c>
      <c r="D398" s="31">
        <v>6829921.5</v>
      </c>
      <c r="E398" s="32">
        <v>31</v>
      </c>
      <c r="F398" s="32">
        <v>5468</v>
      </c>
      <c r="G398" s="32">
        <v>5081</v>
      </c>
      <c r="H398" s="33">
        <f t="shared" si="12"/>
        <v>220320.048387097</v>
      </c>
      <c r="I398" s="37">
        <f t="shared" si="13"/>
        <v>23</v>
      </c>
    </row>
    <row r="399" ht="14.25" customHeight="1" spans="1:9">
      <c r="A399" s="34">
        <v>43982</v>
      </c>
      <c r="B399" s="35" t="s">
        <v>23</v>
      </c>
      <c r="C399" s="35">
        <v>16143</v>
      </c>
      <c r="D399" s="35">
        <v>1423410</v>
      </c>
      <c r="E399" s="32">
        <v>18</v>
      </c>
      <c r="F399" s="32">
        <v>1029</v>
      </c>
      <c r="G399" s="32">
        <v>925</v>
      </c>
      <c r="H399" s="33">
        <f t="shared" si="12"/>
        <v>79078.3333333333</v>
      </c>
      <c r="I399" s="37">
        <f t="shared" si="13"/>
        <v>22</v>
      </c>
    </row>
    <row r="400" ht="14.25" customHeight="1" spans="1:9">
      <c r="A400" s="30">
        <v>43962</v>
      </c>
      <c r="B400" s="31" t="s">
        <v>11</v>
      </c>
      <c r="C400" s="31">
        <v>72220.5</v>
      </c>
      <c r="D400" s="31">
        <v>6398719.5</v>
      </c>
      <c r="E400" s="32">
        <v>31</v>
      </c>
      <c r="F400" s="32">
        <v>4826</v>
      </c>
      <c r="G400" s="32">
        <v>4483</v>
      </c>
      <c r="H400" s="33">
        <f t="shared" si="12"/>
        <v>206410.306451613</v>
      </c>
      <c r="I400" s="37">
        <f t="shared" si="13"/>
        <v>20</v>
      </c>
    </row>
    <row r="401" ht="14.25" customHeight="1" spans="1:9">
      <c r="A401" s="34">
        <v>43969</v>
      </c>
      <c r="B401" s="35" t="s">
        <v>11</v>
      </c>
      <c r="C401" s="35">
        <v>78058.5</v>
      </c>
      <c r="D401" s="35">
        <v>6609714</v>
      </c>
      <c r="E401" s="32">
        <v>31</v>
      </c>
      <c r="F401" s="32">
        <v>5165</v>
      </c>
      <c r="G401" s="32">
        <v>4813</v>
      </c>
      <c r="H401" s="33">
        <f t="shared" si="12"/>
        <v>213216.580645161</v>
      </c>
      <c r="I401" s="37">
        <f t="shared" si="13"/>
        <v>21</v>
      </c>
    </row>
    <row r="402" ht="14.25" customHeight="1" spans="1:9">
      <c r="A402" s="30">
        <v>43965</v>
      </c>
      <c r="B402" s="31" t="s">
        <v>11</v>
      </c>
      <c r="C402" s="31">
        <v>70498.5</v>
      </c>
      <c r="D402" s="31">
        <v>6053649</v>
      </c>
      <c r="E402" s="32">
        <v>31</v>
      </c>
      <c r="F402" s="32">
        <v>4695</v>
      </c>
      <c r="G402" s="32">
        <v>4372</v>
      </c>
      <c r="H402" s="33">
        <f t="shared" si="12"/>
        <v>195279</v>
      </c>
      <c r="I402" s="37">
        <f t="shared" si="13"/>
        <v>20</v>
      </c>
    </row>
    <row r="403" ht="14.25" customHeight="1" spans="1:9">
      <c r="A403" s="34">
        <v>43966</v>
      </c>
      <c r="B403" s="35" t="s">
        <v>11</v>
      </c>
      <c r="C403" s="35">
        <v>78961.5</v>
      </c>
      <c r="D403" s="35">
        <v>6876454.5</v>
      </c>
      <c r="E403" s="32">
        <v>31</v>
      </c>
      <c r="F403" s="32">
        <v>5184</v>
      </c>
      <c r="G403" s="32">
        <v>4778</v>
      </c>
      <c r="H403" s="33">
        <f t="shared" si="12"/>
        <v>221821.112903226</v>
      </c>
      <c r="I403" s="37">
        <f t="shared" si="13"/>
        <v>20</v>
      </c>
    </row>
    <row r="404" ht="14.25" customHeight="1" spans="1:9">
      <c r="A404" s="30">
        <v>43978</v>
      </c>
      <c r="B404" s="31" t="s">
        <v>12</v>
      </c>
      <c r="C404" s="31">
        <v>12490.5</v>
      </c>
      <c r="D404" s="31">
        <v>1054798.5</v>
      </c>
      <c r="E404" s="32">
        <v>10</v>
      </c>
      <c r="F404" s="32">
        <v>757</v>
      </c>
      <c r="G404" s="32">
        <v>660</v>
      </c>
      <c r="H404" s="33">
        <f t="shared" si="12"/>
        <v>105479.85</v>
      </c>
      <c r="I404" s="37">
        <f t="shared" si="13"/>
        <v>22</v>
      </c>
    </row>
    <row r="405" ht="14.25" customHeight="1" spans="1:9">
      <c r="A405" s="34">
        <v>43973</v>
      </c>
      <c r="B405" s="35" t="s">
        <v>12</v>
      </c>
      <c r="C405" s="35">
        <v>18036</v>
      </c>
      <c r="D405" s="35">
        <v>1455049.5</v>
      </c>
      <c r="E405" s="32">
        <v>10</v>
      </c>
      <c r="F405" s="32">
        <v>965</v>
      </c>
      <c r="G405" s="32">
        <v>861</v>
      </c>
      <c r="H405" s="33">
        <f t="shared" si="12"/>
        <v>145504.95</v>
      </c>
      <c r="I405" s="37">
        <f t="shared" si="13"/>
        <v>21</v>
      </c>
    </row>
    <row r="406" ht="14.25" customHeight="1" spans="1:9">
      <c r="A406" s="30">
        <v>43983</v>
      </c>
      <c r="B406" s="31" t="s">
        <v>12</v>
      </c>
      <c r="C406" s="31">
        <v>11416.5</v>
      </c>
      <c r="D406" s="31">
        <v>1007742</v>
      </c>
      <c r="E406" s="32">
        <v>10</v>
      </c>
      <c r="F406" s="32">
        <v>719</v>
      </c>
      <c r="G406" s="32">
        <v>627</v>
      </c>
      <c r="H406" s="33">
        <f t="shared" si="12"/>
        <v>100774.2</v>
      </c>
      <c r="I406" s="37">
        <f t="shared" si="13"/>
        <v>23</v>
      </c>
    </row>
    <row r="407" ht="14.25" customHeight="1" spans="1:9">
      <c r="A407" s="34">
        <v>43962</v>
      </c>
      <c r="B407" s="35" t="s">
        <v>12</v>
      </c>
      <c r="C407" s="35">
        <v>9007.5</v>
      </c>
      <c r="D407" s="35">
        <v>734335.5</v>
      </c>
      <c r="E407" s="32">
        <v>10</v>
      </c>
      <c r="F407" s="32">
        <v>494</v>
      </c>
      <c r="G407" s="32">
        <v>421</v>
      </c>
      <c r="H407" s="33">
        <f t="shared" si="12"/>
        <v>73433.55</v>
      </c>
      <c r="I407" s="37">
        <f t="shared" si="13"/>
        <v>20</v>
      </c>
    </row>
    <row r="408" ht="14.25" customHeight="1" spans="1:9">
      <c r="A408" s="30">
        <v>43980</v>
      </c>
      <c r="B408" s="31" t="s">
        <v>11</v>
      </c>
      <c r="C408" s="31">
        <v>87552</v>
      </c>
      <c r="D408" s="31">
        <v>7387116</v>
      </c>
      <c r="E408" s="32">
        <v>31</v>
      </c>
      <c r="F408" s="32">
        <v>5751</v>
      </c>
      <c r="G408" s="32">
        <v>5319</v>
      </c>
      <c r="H408" s="33">
        <f t="shared" si="12"/>
        <v>238294.064516129</v>
      </c>
      <c r="I408" s="37">
        <f t="shared" si="13"/>
        <v>22</v>
      </c>
    </row>
    <row r="409" ht="14.25" customHeight="1" spans="1:9">
      <c r="A409" s="34">
        <v>43969</v>
      </c>
      <c r="B409" s="35" t="s">
        <v>12</v>
      </c>
      <c r="C409" s="35">
        <v>11680.5</v>
      </c>
      <c r="D409" s="35">
        <v>936427.5</v>
      </c>
      <c r="E409" s="32">
        <v>10</v>
      </c>
      <c r="F409" s="32">
        <v>645</v>
      </c>
      <c r="G409" s="32">
        <v>565</v>
      </c>
      <c r="H409" s="33">
        <f t="shared" si="12"/>
        <v>93642.75</v>
      </c>
      <c r="I409" s="37">
        <f t="shared" si="13"/>
        <v>21</v>
      </c>
    </row>
    <row r="410" ht="14.25" customHeight="1" spans="1:9">
      <c r="A410" s="30">
        <v>43965</v>
      </c>
      <c r="B410" s="31" t="s">
        <v>12</v>
      </c>
      <c r="C410" s="31">
        <v>12037.5</v>
      </c>
      <c r="D410" s="31">
        <v>981564</v>
      </c>
      <c r="E410" s="32">
        <v>10</v>
      </c>
      <c r="F410" s="32">
        <v>627</v>
      </c>
      <c r="G410" s="32">
        <v>545</v>
      </c>
      <c r="H410" s="33">
        <f t="shared" si="12"/>
        <v>98156.4</v>
      </c>
      <c r="I410" s="37">
        <f t="shared" si="13"/>
        <v>20</v>
      </c>
    </row>
    <row r="411" ht="14.25" customHeight="1" spans="1:9">
      <c r="A411" s="34">
        <v>43966</v>
      </c>
      <c r="B411" s="35" t="s">
        <v>12</v>
      </c>
      <c r="C411" s="35">
        <v>14421</v>
      </c>
      <c r="D411" s="35">
        <v>1150579.5</v>
      </c>
      <c r="E411" s="32">
        <v>10</v>
      </c>
      <c r="F411" s="32">
        <v>743</v>
      </c>
      <c r="G411" s="32">
        <v>652</v>
      </c>
      <c r="H411" s="33">
        <f t="shared" si="12"/>
        <v>115057.95</v>
      </c>
      <c r="I411" s="37">
        <f t="shared" si="13"/>
        <v>20</v>
      </c>
    </row>
    <row r="412" ht="14.25" customHeight="1" spans="1:9">
      <c r="A412" s="30">
        <v>43980</v>
      </c>
      <c r="B412" s="31" t="s">
        <v>12</v>
      </c>
      <c r="C412" s="31">
        <v>14823</v>
      </c>
      <c r="D412" s="31">
        <v>1273464</v>
      </c>
      <c r="E412" s="32">
        <v>10</v>
      </c>
      <c r="F412" s="32">
        <v>873</v>
      </c>
      <c r="G412" s="32">
        <v>770</v>
      </c>
      <c r="H412" s="33">
        <f t="shared" si="12"/>
        <v>127346.4</v>
      </c>
      <c r="I412" s="37">
        <f t="shared" si="13"/>
        <v>22</v>
      </c>
    </row>
    <row r="413" ht="14.25" customHeight="1" spans="1:9">
      <c r="A413" s="34">
        <v>43978</v>
      </c>
      <c r="B413" s="35" t="s">
        <v>13</v>
      </c>
      <c r="C413" s="35">
        <v>31257</v>
      </c>
      <c r="D413" s="35">
        <v>2924133</v>
      </c>
      <c r="E413" s="32">
        <v>20</v>
      </c>
      <c r="F413" s="32">
        <v>2079</v>
      </c>
      <c r="G413" s="32">
        <v>1856</v>
      </c>
      <c r="H413" s="33">
        <f t="shared" si="12"/>
        <v>146206.65</v>
      </c>
      <c r="I413" s="37">
        <f t="shared" si="13"/>
        <v>22</v>
      </c>
    </row>
    <row r="414" ht="14.25" customHeight="1" spans="1:9">
      <c r="A414" s="30">
        <v>43973</v>
      </c>
      <c r="B414" s="31" t="s">
        <v>13</v>
      </c>
      <c r="C414" s="31">
        <v>38074.5</v>
      </c>
      <c r="D414" s="31">
        <v>3414180</v>
      </c>
      <c r="E414" s="32">
        <v>20</v>
      </c>
      <c r="F414" s="32">
        <v>2306</v>
      </c>
      <c r="G414" s="32">
        <v>2054</v>
      </c>
      <c r="H414" s="33">
        <f t="shared" si="12"/>
        <v>170709</v>
      </c>
      <c r="I414" s="37">
        <f t="shared" si="13"/>
        <v>21</v>
      </c>
    </row>
    <row r="415" ht="14.25" customHeight="1" spans="1:9">
      <c r="A415" s="34">
        <v>43983</v>
      </c>
      <c r="B415" s="35" t="s">
        <v>13</v>
      </c>
      <c r="C415" s="35">
        <v>32170.5</v>
      </c>
      <c r="D415" s="35">
        <v>3013512</v>
      </c>
      <c r="E415" s="32">
        <v>20</v>
      </c>
      <c r="F415" s="32">
        <v>2136</v>
      </c>
      <c r="G415" s="32">
        <v>1899</v>
      </c>
      <c r="H415" s="33">
        <f t="shared" si="12"/>
        <v>150675.6</v>
      </c>
      <c r="I415" s="37">
        <f t="shared" si="13"/>
        <v>23</v>
      </c>
    </row>
    <row r="416" ht="14.25" customHeight="1" spans="1:9">
      <c r="A416" s="30">
        <v>43962</v>
      </c>
      <c r="B416" s="31" t="s">
        <v>13</v>
      </c>
      <c r="C416" s="31">
        <v>42397.5</v>
      </c>
      <c r="D416" s="31">
        <v>3911979</v>
      </c>
      <c r="E416" s="32">
        <v>19</v>
      </c>
      <c r="F416" s="32">
        <v>2530</v>
      </c>
      <c r="G416" s="32">
        <v>2270</v>
      </c>
      <c r="H416" s="33">
        <f t="shared" si="12"/>
        <v>205893.631578947</v>
      </c>
      <c r="I416" s="37">
        <f t="shared" si="13"/>
        <v>20</v>
      </c>
    </row>
    <row r="417" ht="14.25" customHeight="1" spans="1:9">
      <c r="A417" s="34">
        <v>43969</v>
      </c>
      <c r="B417" s="35" t="s">
        <v>13</v>
      </c>
      <c r="C417" s="35">
        <v>28668</v>
      </c>
      <c r="D417" s="35">
        <v>2588148</v>
      </c>
      <c r="E417" s="32">
        <v>19</v>
      </c>
      <c r="F417" s="32">
        <v>1858</v>
      </c>
      <c r="G417" s="32">
        <v>1648</v>
      </c>
      <c r="H417" s="33">
        <f t="shared" si="12"/>
        <v>136218.315789474</v>
      </c>
      <c r="I417" s="37">
        <f t="shared" si="13"/>
        <v>21</v>
      </c>
    </row>
    <row r="418" ht="14.25" customHeight="1" spans="1:9">
      <c r="A418" s="30">
        <v>43965</v>
      </c>
      <c r="B418" s="31" t="s">
        <v>13</v>
      </c>
      <c r="C418" s="31">
        <v>27411</v>
      </c>
      <c r="D418" s="31">
        <v>2441520</v>
      </c>
      <c r="E418" s="32">
        <v>19</v>
      </c>
      <c r="F418" s="32">
        <v>1675</v>
      </c>
      <c r="G418" s="32">
        <v>1475</v>
      </c>
      <c r="H418" s="33">
        <f t="shared" si="12"/>
        <v>128501.052631579</v>
      </c>
      <c r="I418" s="37">
        <f t="shared" si="13"/>
        <v>20</v>
      </c>
    </row>
    <row r="419" ht="14.25" customHeight="1" spans="1:9">
      <c r="A419" s="34">
        <v>43966</v>
      </c>
      <c r="B419" s="35" t="s">
        <v>13</v>
      </c>
      <c r="C419" s="35">
        <v>32854.5</v>
      </c>
      <c r="D419" s="35">
        <v>2949078</v>
      </c>
      <c r="E419" s="32">
        <v>19</v>
      </c>
      <c r="F419" s="32">
        <v>1940</v>
      </c>
      <c r="G419" s="32">
        <v>1715</v>
      </c>
      <c r="H419" s="33">
        <f t="shared" si="12"/>
        <v>155214.631578947</v>
      </c>
      <c r="I419" s="37">
        <f t="shared" si="13"/>
        <v>20</v>
      </c>
    </row>
    <row r="420" ht="14.25" customHeight="1" spans="1:9">
      <c r="A420" s="30">
        <v>43980</v>
      </c>
      <c r="B420" s="31" t="s">
        <v>13</v>
      </c>
      <c r="C420" s="31">
        <v>35346</v>
      </c>
      <c r="D420" s="31">
        <v>3258054</v>
      </c>
      <c r="E420" s="32">
        <v>20</v>
      </c>
      <c r="F420" s="32">
        <v>2249</v>
      </c>
      <c r="G420" s="32">
        <v>2000</v>
      </c>
      <c r="H420" s="33">
        <f t="shared" si="12"/>
        <v>162902.7</v>
      </c>
      <c r="I420" s="37">
        <f t="shared" si="13"/>
        <v>22</v>
      </c>
    </row>
    <row r="421" ht="14.25" customHeight="1" spans="1:9">
      <c r="A421" s="34">
        <v>43978</v>
      </c>
      <c r="B421" s="35" t="s">
        <v>14</v>
      </c>
      <c r="C421" s="35">
        <v>286558.5</v>
      </c>
      <c r="D421" s="35">
        <v>29256993</v>
      </c>
      <c r="E421" s="32">
        <v>129</v>
      </c>
      <c r="F421" s="32">
        <v>17115</v>
      </c>
      <c r="G421" s="32">
        <v>15962</v>
      </c>
      <c r="H421" s="33">
        <f t="shared" si="12"/>
        <v>226798.395348837</v>
      </c>
      <c r="I421" s="37">
        <f t="shared" si="13"/>
        <v>22</v>
      </c>
    </row>
    <row r="422" ht="14.25" customHeight="1" spans="1:9">
      <c r="A422" s="30">
        <v>43973</v>
      </c>
      <c r="B422" s="31" t="s">
        <v>14</v>
      </c>
      <c r="C422" s="31">
        <v>304092</v>
      </c>
      <c r="D422" s="31">
        <v>29465769</v>
      </c>
      <c r="E422" s="32">
        <v>129</v>
      </c>
      <c r="F422" s="32">
        <v>17088</v>
      </c>
      <c r="G422" s="32">
        <v>15804</v>
      </c>
      <c r="H422" s="33">
        <f t="shared" si="12"/>
        <v>228416.813953488</v>
      </c>
      <c r="I422" s="37">
        <f t="shared" si="13"/>
        <v>21</v>
      </c>
    </row>
    <row r="423" ht="14.25" customHeight="1" spans="1:9">
      <c r="A423" s="34">
        <v>43983</v>
      </c>
      <c r="B423" s="35" t="s">
        <v>14</v>
      </c>
      <c r="C423" s="35">
        <v>272926.5</v>
      </c>
      <c r="D423" s="35">
        <v>27770092.5</v>
      </c>
      <c r="E423" s="32">
        <v>128</v>
      </c>
      <c r="F423" s="32">
        <v>16285</v>
      </c>
      <c r="G423" s="32">
        <v>15130</v>
      </c>
      <c r="H423" s="33">
        <f t="shared" si="12"/>
        <v>216953.84765625</v>
      </c>
      <c r="I423" s="37">
        <f t="shared" si="13"/>
        <v>23</v>
      </c>
    </row>
    <row r="424" ht="14.25" customHeight="1" spans="1:9">
      <c r="A424" s="30">
        <v>43962</v>
      </c>
      <c r="B424" s="31" t="s">
        <v>14</v>
      </c>
      <c r="C424" s="31">
        <v>237099</v>
      </c>
      <c r="D424" s="31">
        <v>24628233.22395</v>
      </c>
      <c r="E424" s="32">
        <v>129</v>
      </c>
      <c r="F424" s="32">
        <v>14043</v>
      </c>
      <c r="G424" s="32">
        <v>13167</v>
      </c>
      <c r="H424" s="33">
        <f t="shared" si="12"/>
        <v>190916.536619767</v>
      </c>
      <c r="I424" s="37">
        <f t="shared" si="13"/>
        <v>20</v>
      </c>
    </row>
    <row r="425" ht="14.25" customHeight="1" spans="1:9">
      <c r="A425" s="34">
        <v>43969</v>
      </c>
      <c r="B425" s="35" t="s">
        <v>14</v>
      </c>
      <c r="C425" s="35">
        <v>273900</v>
      </c>
      <c r="D425" s="35">
        <v>27535284.1476</v>
      </c>
      <c r="E425" s="32">
        <v>129</v>
      </c>
      <c r="F425" s="32">
        <v>16110</v>
      </c>
      <c r="G425" s="32">
        <v>14992</v>
      </c>
      <c r="H425" s="33">
        <f t="shared" si="12"/>
        <v>213451.815097674</v>
      </c>
      <c r="I425" s="37">
        <f t="shared" si="13"/>
        <v>21</v>
      </c>
    </row>
    <row r="426" ht="14.25" customHeight="1" spans="1:9">
      <c r="A426" s="30">
        <v>43965</v>
      </c>
      <c r="B426" s="31" t="s">
        <v>14</v>
      </c>
      <c r="C426" s="31">
        <v>274059</v>
      </c>
      <c r="D426" s="31">
        <v>28181292</v>
      </c>
      <c r="E426" s="32">
        <v>129</v>
      </c>
      <c r="F426" s="32">
        <v>15804</v>
      </c>
      <c r="G426" s="32">
        <v>14738</v>
      </c>
      <c r="H426" s="33">
        <f t="shared" si="12"/>
        <v>218459.627906977</v>
      </c>
      <c r="I426" s="37">
        <f t="shared" si="13"/>
        <v>20</v>
      </c>
    </row>
    <row r="427" ht="14.25" customHeight="1" spans="1:9">
      <c r="A427" s="34">
        <v>43966</v>
      </c>
      <c r="B427" s="35" t="s">
        <v>14</v>
      </c>
      <c r="C427" s="35">
        <v>318816</v>
      </c>
      <c r="D427" s="35">
        <v>32354331</v>
      </c>
      <c r="E427" s="32">
        <v>129</v>
      </c>
      <c r="F427" s="32">
        <v>17808</v>
      </c>
      <c r="G427" s="32">
        <v>16486</v>
      </c>
      <c r="H427" s="33">
        <f t="shared" si="12"/>
        <v>250808.76744186</v>
      </c>
      <c r="I427" s="37">
        <f t="shared" si="13"/>
        <v>20</v>
      </c>
    </row>
    <row r="428" ht="14.25" customHeight="1" spans="1:9">
      <c r="A428" s="30">
        <v>43978</v>
      </c>
      <c r="B428" s="31" t="s">
        <v>15</v>
      </c>
      <c r="C428" s="31">
        <v>370012.5</v>
      </c>
      <c r="D428" s="31">
        <v>39034861.5</v>
      </c>
      <c r="E428" s="32">
        <v>124</v>
      </c>
      <c r="F428" s="32">
        <v>21384</v>
      </c>
      <c r="G428" s="32">
        <v>19897</v>
      </c>
      <c r="H428" s="33">
        <f t="shared" si="12"/>
        <v>314797.27016129</v>
      </c>
      <c r="I428" s="37">
        <f t="shared" si="13"/>
        <v>22</v>
      </c>
    </row>
    <row r="429" ht="14.25" customHeight="1" spans="1:9">
      <c r="A429" s="34">
        <v>43973</v>
      </c>
      <c r="B429" s="35" t="s">
        <v>15</v>
      </c>
      <c r="C429" s="35">
        <v>393018</v>
      </c>
      <c r="D429" s="35">
        <v>39498373.5</v>
      </c>
      <c r="E429" s="32">
        <v>125</v>
      </c>
      <c r="F429" s="32">
        <v>21427</v>
      </c>
      <c r="G429" s="32">
        <v>19799</v>
      </c>
      <c r="H429" s="33">
        <f t="shared" si="12"/>
        <v>315986.988</v>
      </c>
      <c r="I429" s="37">
        <f t="shared" si="13"/>
        <v>21</v>
      </c>
    </row>
    <row r="430" ht="14.25" customHeight="1" spans="1:9">
      <c r="A430" s="30">
        <v>43983</v>
      </c>
      <c r="B430" s="31" t="s">
        <v>15</v>
      </c>
      <c r="C430" s="31">
        <v>349699.5</v>
      </c>
      <c r="D430" s="31">
        <v>37257840.18135</v>
      </c>
      <c r="E430" s="32">
        <v>123</v>
      </c>
      <c r="F430" s="32">
        <v>20325</v>
      </c>
      <c r="G430" s="32">
        <v>18935</v>
      </c>
      <c r="H430" s="33">
        <f t="shared" si="12"/>
        <v>302909.269767073</v>
      </c>
      <c r="I430" s="37">
        <f t="shared" si="13"/>
        <v>23</v>
      </c>
    </row>
    <row r="431" ht="14.25" customHeight="1" spans="1:9">
      <c r="A431" s="34">
        <v>43962</v>
      </c>
      <c r="B431" s="35" t="s">
        <v>15</v>
      </c>
      <c r="C431" s="35">
        <v>318565.5</v>
      </c>
      <c r="D431" s="35">
        <v>33781581</v>
      </c>
      <c r="E431" s="32">
        <v>125</v>
      </c>
      <c r="F431" s="32">
        <v>18066</v>
      </c>
      <c r="G431" s="32">
        <v>16883</v>
      </c>
      <c r="H431" s="33">
        <f t="shared" si="12"/>
        <v>270252.648</v>
      </c>
      <c r="I431" s="37">
        <f t="shared" si="13"/>
        <v>20</v>
      </c>
    </row>
    <row r="432" ht="14.25" customHeight="1" spans="1:9">
      <c r="A432" s="30">
        <v>43980</v>
      </c>
      <c r="B432" s="31" t="s">
        <v>14</v>
      </c>
      <c r="C432" s="31">
        <v>422965.5</v>
      </c>
      <c r="D432" s="31">
        <v>41767140.105</v>
      </c>
      <c r="E432" s="32">
        <v>129</v>
      </c>
      <c r="F432" s="32">
        <v>22403</v>
      </c>
      <c r="G432" s="32">
        <v>20676</v>
      </c>
      <c r="H432" s="33">
        <f t="shared" si="12"/>
        <v>323776.279883721</v>
      </c>
      <c r="I432" s="37">
        <f t="shared" si="13"/>
        <v>22</v>
      </c>
    </row>
    <row r="433" ht="14.25" customHeight="1" spans="1:9">
      <c r="A433" s="34">
        <v>43969</v>
      </c>
      <c r="B433" s="35" t="s">
        <v>15</v>
      </c>
      <c r="C433" s="35">
        <v>355081.5</v>
      </c>
      <c r="D433" s="35">
        <v>36876888</v>
      </c>
      <c r="E433" s="32">
        <v>125</v>
      </c>
      <c r="F433" s="32">
        <v>20449</v>
      </c>
      <c r="G433" s="32">
        <v>19060</v>
      </c>
      <c r="H433" s="33">
        <f t="shared" si="12"/>
        <v>295015.104</v>
      </c>
      <c r="I433" s="37">
        <f t="shared" si="13"/>
        <v>21</v>
      </c>
    </row>
    <row r="434" ht="14.25" customHeight="1" spans="1:9">
      <c r="A434" s="30">
        <v>43965</v>
      </c>
      <c r="B434" s="31" t="s">
        <v>15</v>
      </c>
      <c r="C434" s="31">
        <v>358387.5</v>
      </c>
      <c r="D434" s="31">
        <v>37963150.5</v>
      </c>
      <c r="E434" s="32">
        <v>125</v>
      </c>
      <c r="F434" s="32">
        <v>20247</v>
      </c>
      <c r="G434" s="32">
        <v>18812</v>
      </c>
      <c r="H434" s="33">
        <f t="shared" si="12"/>
        <v>303705.204</v>
      </c>
      <c r="I434" s="37">
        <f t="shared" si="13"/>
        <v>20</v>
      </c>
    </row>
    <row r="435" ht="14.25" customHeight="1" spans="1:9">
      <c r="A435" s="34">
        <v>43966</v>
      </c>
      <c r="B435" s="35" t="s">
        <v>15</v>
      </c>
      <c r="C435" s="35">
        <v>403261.5</v>
      </c>
      <c r="D435" s="35">
        <v>42271377</v>
      </c>
      <c r="E435" s="32">
        <v>125</v>
      </c>
      <c r="F435" s="32">
        <v>21862</v>
      </c>
      <c r="G435" s="32">
        <v>20235</v>
      </c>
      <c r="H435" s="33">
        <f t="shared" si="12"/>
        <v>338171.016</v>
      </c>
      <c r="I435" s="37">
        <f t="shared" si="13"/>
        <v>20</v>
      </c>
    </row>
    <row r="436" ht="14.25" customHeight="1" spans="1:9">
      <c r="A436" s="30">
        <v>43978</v>
      </c>
      <c r="B436" s="31" t="s">
        <v>16</v>
      </c>
      <c r="C436" s="31">
        <v>69010.5</v>
      </c>
      <c r="D436" s="31">
        <v>5985894</v>
      </c>
      <c r="E436" s="32">
        <v>36</v>
      </c>
      <c r="F436" s="32">
        <v>4951</v>
      </c>
      <c r="G436" s="32">
        <v>4584</v>
      </c>
      <c r="H436" s="33">
        <f t="shared" si="12"/>
        <v>166274.833333333</v>
      </c>
      <c r="I436" s="37">
        <f t="shared" si="13"/>
        <v>22</v>
      </c>
    </row>
    <row r="437" ht="14.25" customHeight="1" spans="1:9">
      <c r="A437" s="34">
        <v>43973</v>
      </c>
      <c r="B437" s="35" t="s">
        <v>16</v>
      </c>
      <c r="C437" s="35">
        <v>75820.5</v>
      </c>
      <c r="D437" s="35">
        <v>5943489</v>
      </c>
      <c r="E437" s="32">
        <v>36</v>
      </c>
      <c r="F437" s="32">
        <v>4857</v>
      </c>
      <c r="G437" s="32">
        <v>4456</v>
      </c>
      <c r="H437" s="33">
        <f t="shared" si="12"/>
        <v>165096.916666667</v>
      </c>
      <c r="I437" s="37">
        <f t="shared" si="13"/>
        <v>21</v>
      </c>
    </row>
    <row r="438" ht="14.25" customHeight="1" spans="1:9">
      <c r="A438" s="30">
        <v>43983</v>
      </c>
      <c r="B438" s="31" t="s">
        <v>16</v>
      </c>
      <c r="C438" s="31">
        <v>64740</v>
      </c>
      <c r="D438" s="31">
        <v>5800290</v>
      </c>
      <c r="E438" s="32">
        <v>37</v>
      </c>
      <c r="F438" s="32">
        <v>4722</v>
      </c>
      <c r="G438" s="32">
        <v>4352</v>
      </c>
      <c r="H438" s="33">
        <f t="shared" si="12"/>
        <v>156764.594594595</v>
      </c>
      <c r="I438" s="37">
        <f t="shared" si="13"/>
        <v>23</v>
      </c>
    </row>
    <row r="439" ht="14.25" customHeight="1" spans="1:9">
      <c r="A439" s="34">
        <v>43962</v>
      </c>
      <c r="B439" s="35" t="s">
        <v>16</v>
      </c>
      <c r="C439" s="35">
        <v>59574</v>
      </c>
      <c r="D439" s="35">
        <v>5178169.5</v>
      </c>
      <c r="E439" s="32">
        <v>36</v>
      </c>
      <c r="F439" s="32">
        <v>4150</v>
      </c>
      <c r="G439" s="32">
        <v>3838</v>
      </c>
      <c r="H439" s="33">
        <f t="shared" si="12"/>
        <v>143838.041666667</v>
      </c>
      <c r="I439" s="37">
        <f t="shared" si="13"/>
        <v>20</v>
      </c>
    </row>
    <row r="440" ht="14.25" customHeight="1" spans="1:9">
      <c r="A440" s="30">
        <v>43980</v>
      </c>
      <c r="B440" s="31" t="s">
        <v>15</v>
      </c>
      <c r="C440" s="31">
        <v>524481</v>
      </c>
      <c r="D440" s="31">
        <v>54172029</v>
      </c>
      <c r="E440" s="32">
        <v>124</v>
      </c>
      <c r="F440" s="32">
        <v>25828</v>
      </c>
      <c r="G440" s="32">
        <v>23974</v>
      </c>
      <c r="H440" s="33">
        <f t="shared" si="12"/>
        <v>436871.201612903</v>
      </c>
      <c r="I440" s="37">
        <f t="shared" si="13"/>
        <v>22</v>
      </c>
    </row>
    <row r="441" ht="14.25" customHeight="1" spans="1:9">
      <c r="A441" s="34">
        <v>43969</v>
      </c>
      <c r="B441" s="35" t="s">
        <v>16</v>
      </c>
      <c r="C441" s="35">
        <v>70278</v>
      </c>
      <c r="D441" s="35">
        <v>5798476.5</v>
      </c>
      <c r="E441" s="32">
        <v>36</v>
      </c>
      <c r="F441" s="32">
        <v>4885</v>
      </c>
      <c r="G441" s="32">
        <v>4502</v>
      </c>
      <c r="H441" s="33">
        <f t="shared" si="12"/>
        <v>161068.791666667</v>
      </c>
      <c r="I441" s="37">
        <f t="shared" si="13"/>
        <v>21</v>
      </c>
    </row>
    <row r="442" ht="14.25" customHeight="1" spans="1:9">
      <c r="A442" s="30">
        <v>43965</v>
      </c>
      <c r="B442" s="31" t="s">
        <v>16</v>
      </c>
      <c r="C442" s="31">
        <v>63645</v>
      </c>
      <c r="D442" s="31">
        <v>5366602.5</v>
      </c>
      <c r="E442" s="32">
        <v>36</v>
      </c>
      <c r="F442" s="32">
        <v>4285</v>
      </c>
      <c r="G442" s="32">
        <v>3950</v>
      </c>
      <c r="H442" s="33">
        <f t="shared" si="12"/>
        <v>149072.291666667</v>
      </c>
      <c r="I442" s="37">
        <f t="shared" si="13"/>
        <v>20</v>
      </c>
    </row>
    <row r="443" ht="14.25" customHeight="1" spans="1:9">
      <c r="A443" s="34">
        <v>43966</v>
      </c>
      <c r="B443" s="35" t="s">
        <v>16</v>
      </c>
      <c r="C443" s="35">
        <v>75642</v>
      </c>
      <c r="D443" s="35">
        <v>6293952</v>
      </c>
      <c r="E443" s="32">
        <v>36</v>
      </c>
      <c r="F443" s="32">
        <v>4862</v>
      </c>
      <c r="G443" s="32">
        <v>4476</v>
      </c>
      <c r="H443" s="33">
        <f t="shared" si="12"/>
        <v>174832</v>
      </c>
      <c r="I443" s="37">
        <f t="shared" si="13"/>
        <v>20</v>
      </c>
    </row>
    <row r="444" ht="14.25" customHeight="1" spans="1:9">
      <c r="A444" s="30">
        <v>43978</v>
      </c>
      <c r="B444" s="31" t="s">
        <v>17</v>
      </c>
      <c r="C444" s="31">
        <v>40420.5</v>
      </c>
      <c r="D444" s="31">
        <v>3780852</v>
      </c>
      <c r="E444" s="32">
        <v>21</v>
      </c>
      <c r="F444" s="32">
        <v>2430</v>
      </c>
      <c r="G444" s="32">
        <v>2216</v>
      </c>
      <c r="H444" s="33">
        <f t="shared" si="12"/>
        <v>180040.571428571</v>
      </c>
      <c r="I444" s="37">
        <f t="shared" si="13"/>
        <v>22</v>
      </c>
    </row>
    <row r="445" ht="14.25" customHeight="1" spans="1:9">
      <c r="A445" s="34">
        <v>43973</v>
      </c>
      <c r="B445" s="35" t="s">
        <v>17</v>
      </c>
      <c r="C445" s="35">
        <v>53838</v>
      </c>
      <c r="D445" s="35">
        <v>4840833</v>
      </c>
      <c r="E445" s="32">
        <v>21</v>
      </c>
      <c r="F445" s="32">
        <v>2861</v>
      </c>
      <c r="G445" s="32">
        <v>2612</v>
      </c>
      <c r="H445" s="33">
        <f t="shared" si="12"/>
        <v>230515.857142857</v>
      </c>
      <c r="I445" s="37">
        <f t="shared" si="13"/>
        <v>21</v>
      </c>
    </row>
    <row r="446" ht="14.25" customHeight="1" spans="1:9">
      <c r="A446" s="30">
        <v>43983</v>
      </c>
      <c r="B446" s="31" t="s">
        <v>17</v>
      </c>
      <c r="C446" s="31">
        <v>40528.5</v>
      </c>
      <c r="D446" s="31">
        <v>3865251</v>
      </c>
      <c r="E446" s="32">
        <v>23</v>
      </c>
      <c r="F446" s="32">
        <v>2531</v>
      </c>
      <c r="G446" s="32">
        <v>2296</v>
      </c>
      <c r="H446" s="33">
        <f t="shared" si="12"/>
        <v>168054.391304348</v>
      </c>
      <c r="I446" s="37">
        <f t="shared" si="13"/>
        <v>23</v>
      </c>
    </row>
    <row r="447" ht="14.25" customHeight="1" spans="1:9">
      <c r="A447" s="34">
        <v>43962</v>
      </c>
      <c r="B447" s="35" t="s">
        <v>17</v>
      </c>
      <c r="C447" s="35">
        <v>32733</v>
      </c>
      <c r="D447" s="35">
        <v>3079630.5</v>
      </c>
      <c r="E447" s="32">
        <v>21</v>
      </c>
      <c r="F447" s="32">
        <v>1916</v>
      </c>
      <c r="G447" s="32">
        <v>1733</v>
      </c>
      <c r="H447" s="33">
        <f t="shared" si="12"/>
        <v>146649.071428571</v>
      </c>
      <c r="I447" s="37">
        <f t="shared" si="13"/>
        <v>20</v>
      </c>
    </row>
    <row r="448" ht="14.25" customHeight="1" spans="1:9">
      <c r="A448" s="30">
        <v>43980</v>
      </c>
      <c r="B448" s="31" t="s">
        <v>16</v>
      </c>
      <c r="C448" s="31">
        <v>84433.5</v>
      </c>
      <c r="D448" s="31">
        <v>7228395</v>
      </c>
      <c r="E448" s="32">
        <v>37</v>
      </c>
      <c r="F448" s="32">
        <v>5672</v>
      </c>
      <c r="G448" s="32">
        <v>5198</v>
      </c>
      <c r="H448" s="33">
        <f t="shared" si="12"/>
        <v>195362.027027027</v>
      </c>
      <c r="I448" s="37">
        <f t="shared" si="13"/>
        <v>22</v>
      </c>
    </row>
    <row r="449" ht="14.25" customHeight="1" spans="1:9">
      <c r="A449" s="34">
        <v>43969</v>
      </c>
      <c r="B449" s="35" t="s">
        <v>17</v>
      </c>
      <c r="C449" s="35">
        <v>36655.5</v>
      </c>
      <c r="D449" s="35">
        <v>3360135</v>
      </c>
      <c r="E449" s="32">
        <v>21</v>
      </c>
      <c r="F449" s="32">
        <v>2136</v>
      </c>
      <c r="G449" s="32">
        <v>1947</v>
      </c>
      <c r="H449" s="33">
        <f t="shared" si="12"/>
        <v>160006.428571429</v>
      </c>
      <c r="I449" s="37">
        <f t="shared" si="13"/>
        <v>21</v>
      </c>
    </row>
    <row r="450" ht="14.25" customHeight="1" spans="1:9">
      <c r="A450" s="30">
        <v>43965</v>
      </c>
      <c r="B450" s="31" t="s">
        <v>17</v>
      </c>
      <c r="C450" s="31">
        <v>33886.5</v>
      </c>
      <c r="D450" s="31">
        <v>3166479</v>
      </c>
      <c r="E450" s="32">
        <v>21</v>
      </c>
      <c r="F450" s="32">
        <v>1993</v>
      </c>
      <c r="G450" s="32">
        <v>1796</v>
      </c>
      <c r="H450" s="33">
        <f t="shared" si="12"/>
        <v>150784.714285714</v>
      </c>
      <c r="I450" s="37">
        <f t="shared" si="13"/>
        <v>20</v>
      </c>
    </row>
    <row r="451" ht="14.25" customHeight="1" spans="1:9">
      <c r="A451" s="34">
        <v>43966</v>
      </c>
      <c r="B451" s="35" t="s">
        <v>17</v>
      </c>
      <c r="C451" s="35">
        <v>41697</v>
      </c>
      <c r="D451" s="35">
        <v>3772258.5</v>
      </c>
      <c r="E451" s="32">
        <v>21</v>
      </c>
      <c r="F451" s="32">
        <v>2255</v>
      </c>
      <c r="G451" s="32">
        <v>2045</v>
      </c>
      <c r="H451" s="33">
        <f t="shared" ref="H451:H505" si="14">D451/E451</f>
        <v>179631.357142857</v>
      </c>
      <c r="I451" s="37">
        <f t="shared" ref="I451:I505" si="15">WEEKNUM(A451,2)</f>
        <v>20</v>
      </c>
    </row>
    <row r="452" ht="14.25" customHeight="1" spans="1:9">
      <c r="A452" s="30">
        <v>43980</v>
      </c>
      <c r="B452" s="31" t="s">
        <v>17</v>
      </c>
      <c r="C452" s="31">
        <v>44569.5</v>
      </c>
      <c r="D452" s="31">
        <v>4108596</v>
      </c>
      <c r="E452" s="32">
        <v>22</v>
      </c>
      <c r="F452" s="32">
        <v>2597</v>
      </c>
      <c r="G452" s="32">
        <v>2379</v>
      </c>
      <c r="H452" s="33">
        <f t="shared" si="14"/>
        <v>186754.363636364</v>
      </c>
      <c r="I452" s="37">
        <f t="shared" si="15"/>
        <v>22</v>
      </c>
    </row>
    <row r="453" ht="14.25" customHeight="1" spans="1:9">
      <c r="A453" s="34">
        <v>43978</v>
      </c>
      <c r="B453" s="35" t="s">
        <v>18</v>
      </c>
      <c r="C453" s="35">
        <v>18069</v>
      </c>
      <c r="D453" s="35">
        <v>1603084.5</v>
      </c>
      <c r="E453" s="32">
        <v>17</v>
      </c>
      <c r="F453" s="32">
        <v>1203</v>
      </c>
      <c r="G453" s="32">
        <v>1077</v>
      </c>
      <c r="H453" s="33">
        <f t="shared" si="14"/>
        <v>94299.0882352941</v>
      </c>
      <c r="I453" s="37">
        <f t="shared" si="15"/>
        <v>22</v>
      </c>
    </row>
    <row r="454" ht="14.25" customHeight="1" spans="1:9">
      <c r="A454" s="30">
        <v>43973</v>
      </c>
      <c r="B454" s="31" t="s">
        <v>18</v>
      </c>
      <c r="C454" s="31">
        <v>21483</v>
      </c>
      <c r="D454" s="31">
        <v>1774329</v>
      </c>
      <c r="E454" s="32">
        <v>17</v>
      </c>
      <c r="F454" s="32">
        <v>1268</v>
      </c>
      <c r="G454" s="32">
        <v>1129</v>
      </c>
      <c r="H454" s="33">
        <f t="shared" si="14"/>
        <v>104372.294117647</v>
      </c>
      <c r="I454" s="37">
        <f t="shared" si="15"/>
        <v>21</v>
      </c>
    </row>
    <row r="455" ht="14.25" customHeight="1" spans="1:9">
      <c r="A455" s="34">
        <v>43983</v>
      </c>
      <c r="B455" s="35" t="s">
        <v>18</v>
      </c>
      <c r="C455" s="35">
        <v>16687.5</v>
      </c>
      <c r="D455" s="35">
        <v>1526608.5</v>
      </c>
      <c r="E455" s="32">
        <v>17</v>
      </c>
      <c r="F455" s="32">
        <v>1185</v>
      </c>
      <c r="G455" s="32">
        <v>1042</v>
      </c>
      <c r="H455" s="33">
        <f t="shared" si="14"/>
        <v>89800.5</v>
      </c>
      <c r="I455" s="37">
        <f t="shared" si="15"/>
        <v>23</v>
      </c>
    </row>
    <row r="456" ht="14.25" customHeight="1" spans="1:9">
      <c r="A456" s="30">
        <v>43962</v>
      </c>
      <c r="B456" s="31" t="s">
        <v>18</v>
      </c>
      <c r="C456" s="31">
        <v>12238.5</v>
      </c>
      <c r="D456" s="31">
        <v>1096002</v>
      </c>
      <c r="E456" s="32">
        <v>15</v>
      </c>
      <c r="F456" s="32">
        <v>812</v>
      </c>
      <c r="G456" s="32">
        <v>714</v>
      </c>
      <c r="H456" s="33">
        <f t="shared" si="14"/>
        <v>73066.8</v>
      </c>
      <c r="I456" s="37">
        <f t="shared" si="15"/>
        <v>20</v>
      </c>
    </row>
    <row r="457" ht="14.25" customHeight="1" spans="1:9">
      <c r="A457" s="34">
        <v>43969</v>
      </c>
      <c r="B457" s="35" t="s">
        <v>18</v>
      </c>
      <c r="C457" s="35">
        <v>14290.5</v>
      </c>
      <c r="D457" s="35">
        <v>1246162.5</v>
      </c>
      <c r="E457" s="32">
        <v>16</v>
      </c>
      <c r="F457" s="32">
        <v>925</v>
      </c>
      <c r="G457" s="32">
        <v>816</v>
      </c>
      <c r="H457" s="33">
        <f t="shared" si="14"/>
        <v>77885.15625</v>
      </c>
      <c r="I457" s="37">
        <f t="shared" si="15"/>
        <v>21</v>
      </c>
    </row>
    <row r="458" ht="14.25" customHeight="1" spans="1:9">
      <c r="A458" s="30">
        <v>43965</v>
      </c>
      <c r="B458" s="31" t="s">
        <v>18</v>
      </c>
      <c r="C458" s="31">
        <v>14385</v>
      </c>
      <c r="D458" s="31">
        <v>1223491.5</v>
      </c>
      <c r="E458" s="32">
        <v>15</v>
      </c>
      <c r="F458" s="32">
        <v>890</v>
      </c>
      <c r="G458" s="32">
        <v>777</v>
      </c>
      <c r="H458" s="33">
        <f t="shared" si="14"/>
        <v>81566.1</v>
      </c>
      <c r="I458" s="37">
        <f t="shared" si="15"/>
        <v>20</v>
      </c>
    </row>
    <row r="459" ht="14.25" customHeight="1" spans="1:9">
      <c r="A459" s="34">
        <v>43966</v>
      </c>
      <c r="B459" s="35" t="s">
        <v>18</v>
      </c>
      <c r="C459" s="35">
        <v>16498.5</v>
      </c>
      <c r="D459" s="35">
        <v>1370482.5</v>
      </c>
      <c r="E459" s="32">
        <v>15</v>
      </c>
      <c r="F459" s="32">
        <v>980</v>
      </c>
      <c r="G459" s="32">
        <v>867</v>
      </c>
      <c r="H459" s="33">
        <f t="shared" si="14"/>
        <v>91365.5</v>
      </c>
      <c r="I459" s="37">
        <f t="shared" si="15"/>
        <v>20</v>
      </c>
    </row>
    <row r="460" ht="14.25" customHeight="1" spans="1:9">
      <c r="A460" s="30">
        <v>43978</v>
      </c>
      <c r="B460" s="31" t="s">
        <v>19</v>
      </c>
      <c r="C460" s="31">
        <v>13203</v>
      </c>
      <c r="D460" s="31">
        <v>1211457</v>
      </c>
      <c r="E460" s="32">
        <v>15</v>
      </c>
      <c r="F460" s="32">
        <v>809</v>
      </c>
      <c r="G460" s="32">
        <v>702</v>
      </c>
      <c r="H460" s="33">
        <f t="shared" si="14"/>
        <v>80763.8</v>
      </c>
      <c r="I460" s="37">
        <f t="shared" si="15"/>
        <v>22</v>
      </c>
    </row>
    <row r="461" ht="14.25" customHeight="1" spans="1:9">
      <c r="A461" s="34">
        <v>43973</v>
      </c>
      <c r="B461" s="35" t="s">
        <v>19</v>
      </c>
      <c r="C461" s="35">
        <v>15802.5</v>
      </c>
      <c r="D461" s="35">
        <v>1411909.5</v>
      </c>
      <c r="E461" s="32">
        <v>15</v>
      </c>
      <c r="F461" s="32">
        <v>903</v>
      </c>
      <c r="G461" s="32">
        <v>792</v>
      </c>
      <c r="H461" s="33">
        <f t="shared" si="14"/>
        <v>94127.3</v>
      </c>
      <c r="I461" s="37">
        <f t="shared" si="15"/>
        <v>21</v>
      </c>
    </row>
    <row r="462" ht="14.25" customHeight="1" spans="1:9">
      <c r="A462" s="30">
        <v>43983</v>
      </c>
      <c r="B462" s="31" t="s">
        <v>19</v>
      </c>
      <c r="C462" s="31">
        <v>16476</v>
      </c>
      <c r="D462" s="31">
        <v>1565632.5</v>
      </c>
      <c r="E462" s="32">
        <v>16</v>
      </c>
      <c r="F462" s="32">
        <v>1019</v>
      </c>
      <c r="G462" s="32">
        <v>895</v>
      </c>
      <c r="H462" s="33">
        <f t="shared" si="14"/>
        <v>97852.03125</v>
      </c>
      <c r="I462" s="37">
        <f t="shared" si="15"/>
        <v>23</v>
      </c>
    </row>
    <row r="463" ht="14.25" customHeight="1" spans="1:9">
      <c r="A463" s="34">
        <v>43962</v>
      </c>
      <c r="B463" s="35" t="s">
        <v>19</v>
      </c>
      <c r="C463" s="35">
        <v>12654</v>
      </c>
      <c r="D463" s="35">
        <v>1081158</v>
      </c>
      <c r="E463" s="32">
        <v>15</v>
      </c>
      <c r="F463" s="32">
        <v>684</v>
      </c>
      <c r="G463" s="32">
        <v>585</v>
      </c>
      <c r="H463" s="33">
        <f t="shared" si="14"/>
        <v>72077.2</v>
      </c>
      <c r="I463" s="37">
        <f t="shared" si="15"/>
        <v>20</v>
      </c>
    </row>
    <row r="464" ht="14.25" customHeight="1" spans="1:9">
      <c r="A464" s="30">
        <v>43980</v>
      </c>
      <c r="B464" s="31" t="s">
        <v>18</v>
      </c>
      <c r="C464" s="31">
        <v>19647</v>
      </c>
      <c r="D464" s="31">
        <v>1764669</v>
      </c>
      <c r="E464" s="32">
        <v>17</v>
      </c>
      <c r="F464" s="32">
        <v>1296</v>
      </c>
      <c r="G464" s="32">
        <v>1153</v>
      </c>
      <c r="H464" s="33">
        <f t="shared" si="14"/>
        <v>103804.058823529</v>
      </c>
      <c r="I464" s="37">
        <f t="shared" si="15"/>
        <v>22</v>
      </c>
    </row>
    <row r="465" ht="14.25" customHeight="1" spans="1:9">
      <c r="A465" s="34">
        <v>43969</v>
      </c>
      <c r="B465" s="35" t="s">
        <v>19</v>
      </c>
      <c r="C465" s="35">
        <v>12450</v>
      </c>
      <c r="D465" s="35">
        <v>1115146.5</v>
      </c>
      <c r="E465" s="32">
        <v>15</v>
      </c>
      <c r="F465" s="32">
        <v>729</v>
      </c>
      <c r="G465" s="32">
        <v>636</v>
      </c>
      <c r="H465" s="33">
        <f t="shared" si="14"/>
        <v>74343.1</v>
      </c>
      <c r="I465" s="37">
        <f t="shared" si="15"/>
        <v>21</v>
      </c>
    </row>
    <row r="466" ht="14.25" customHeight="1" spans="1:9">
      <c r="A466" s="30">
        <v>43965</v>
      </c>
      <c r="B466" s="31" t="s">
        <v>19</v>
      </c>
      <c r="C466" s="31">
        <v>11161.5</v>
      </c>
      <c r="D466" s="31">
        <v>963502.5</v>
      </c>
      <c r="E466" s="32">
        <v>15</v>
      </c>
      <c r="F466" s="32">
        <v>638</v>
      </c>
      <c r="G466" s="32">
        <v>548</v>
      </c>
      <c r="H466" s="33">
        <f t="shared" si="14"/>
        <v>64233.5</v>
      </c>
      <c r="I466" s="37">
        <f t="shared" si="15"/>
        <v>20</v>
      </c>
    </row>
    <row r="467" ht="14.25" customHeight="1" spans="1:9">
      <c r="A467" s="34">
        <v>43966</v>
      </c>
      <c r="B467" s="35" t="s">
        <v>19</v>
      </c>
      <c r="C467" s="35">
        <v>12229.5</v>
      </c>
      <c r="D467" s="35">
        <v>1122730.5</v>
      </c>
      <c r="E467" s="32">
        <v>15</v>
      </c>
      <c r="F467" s="32">
        <v>688</v>
      </c>
      <c r="G467" s="32">
        <v>598</v>
      </c>
      <c r="H467" s="33">
        <f t="shared" si="14"/>
        <v>74848.7</v>
      </c>
      <c r="I467" s="37">
        <f t="shared" si="15"/>
        <v>20</v>
      </c>
    </row>
    <row r="468" ht="14.25" customHeight="1" spans="1:9">
      <c r="A468" s="30">
        <v>43978</v>
      </c>
      <c r="B468" s="31" t="s">
        <v>20</v>
      </c>
      <c r="C468" s="31">
        <v>28050</v>
      </c>
      <c r="D468" s="31">
        <v>2458555.5</v>
      </c>
      <c r="E468" s="32">
        <v>20</v>
      </c>
      <c r="F468" s="32">
        <v>1873</v>
      </c>
      <c r="G468" s="32">
        <v>1715</v>
      </c>
      <c r="H468" s="33">
        <f t="shared" si="14"/>
        <v>122927.775</v>
      </c>
      <c r="I468" s="37">
        <f t="shared" si="15"/>
        <v>22</v>
      </c>
    </row>
    <row r="469" ht="14.25" customHeight="1" spans="1:9">
      <c r="A469" s="34">
        <v>43973</v>
      </c>
      <c r="B469" s="35" t="s">
        <v>20</v>
      </c>
      <c r="C469" s="35">
        <v>30781.5</v>
      </c>
      <c r="D469" s="35">
        <v>2540715</v>
      </c>
      <c r="E469" s="32">
        <v>19</v>
      </c>
      <c r="F469" s="32">
        <v>1859</v>
      </c>
      <c r="G469" s="32">
        <v>1697</v>
      </c>
      <c r="H469" s="33">
        <f t="shared" si="14"/>
        <v>133721.842105263</v>
      </c>
      <c r="I469" s="37">
        <f t="shared" si="15"/>
        <v>21</v>
      </c>
    </row>
    <row r="470" ht="14.25" customHeight="1" spans="1:9">
      <c r="A470" s="30">
        <v>43983</v>
      </c>
      <c r="B470" s="31" t="s">
        <v>20</v>
      </c>
      <c r="C470" s="31">
        <v>27960</v>
      </c>
      <c r="D470" s="31">
        <v>2538967.5</v>
      </c>
      <c r="E470" s="32">
        <v>21</v>
      </c>
      <c r="F470" s="32">
        <v>1879</v>
      </c>
      <c r="G470" s="32">
        <v>1720</v>
      </c>
      <c r="H470" s="33">
        <f t="shared" si="14"/>
        <v>120903.214285714</v>
      </c>
      <c r="I470" s="37">
        <f t="shared" si="15"/>
        <v>23</v>
      </c>
    </row>
    <row r="471" ht="14.25" customHeight="1" spans="1:9">
      <c r="A471" s="34">
        <v>43962</v>
      </c>
      <c r="B471" s="35" t="s">
        <v>20</v>
      </c>
      <c r="C471" s="35">
        <v>23629.5</v>
      </c>
      <c r="D471" s="35">
        <v>2164365</v>
      </c>
      <c r="E471" s="32">
        <v>19</v>
      </c>
      <c r="F471" s="32">
        <v>1527</v>
      </c>
      <c r="G471" s="32">
        <v>1389</v>
      </c>
      <c r="H471" s="33">
        <f t="shared" si="14"/>
        <v>113913.947368421</v>
      </c>
      <c r="I471" s="37">
        <f t="shared" si="15"/>
        <v>20</v>
      </c>
    </row>
    <row r="472" ht="14.25" customHeight="1" spans="1:9">
      <c r="A472" s="30">
        <v>43980</v>
      </c>
      <c r="B472" s="31" t="s">
        <v>19</v>
      </c>
      <c r="C472" s="31">
        <v>17052</v>
      </c>
      <c r="D472" s="31">
        <v>1549020</v>
      </c>
      <c r="E472" s="32">
        <v>16</v>
      </c>
      <c r="F472" s="32">
        <v>981</v>
      </c>
      <c r="G472" s="32">
        <v>859</v>
      </c>
      <c r="H472" s="33">
        <f t="shared" si="14"/>
        <v>96813.75</v>
      </c>
      <c r="I472" s="37">
        <f t="shared" si="15"/>
        <v>22</v>
      </c>
    </row>
    <row r="473" ht="14.25" customHeight="1" spans="1:9">
      <c r="A473" s="34">
        <v>43969</v>
      </c>
      <c r="B473" s="35" t="s">
        <v>20</v>
      </c>
      <c r="C473" s="35">
        <v>27181.5</v>
      </c>
      <c r="D473" s="35">
        <v>2324490</v>
      </c>
      <c r="E473" s="32">
        <v>19</v>
      </c>
      <c r="F473" s="32">
        <v>1741</v>
      </c>
      <c r="G473" s="32">
        <v>1597</v>
      </c>
      <c r="H473" s="33">
        <f t="shared" si="14"/>
        <v>122341.578947368</v>
      </c>
      <c r="I473" s="37">
        <f t="shared" si="15"/>
        <v>21</v>
      </c>
    </row>
    <row r="474" ht="14.25" customHeight="1" spans="1:9">
      <c r="A474" s="30">
        <v>43965</v>
      </c>
      <c r="B474" s="31" t="s">
        <v>20</v>
      </c>
      <c r="C474" s="31">
        <v>25656</v>
      </c>
      <c r="D474" s="31">
        <v>2225341.5</v>
      </c>
      <c r="E474" s="32">
        <v>19</v>
      </c>
      <c r="F474" s="32">
        <v>1635</v>
      </c>
      <c r="G474" s="32">
        <v>1487</v>
      </c>
      <c r="H474" s="33">
        <f t="shared" si="14"/>
        <v>117123.236842105</v>
      </c>
      <c r="I474" s="37">
        <f t="shared" si="15"/>
        <v>20</v>
      </c>
    </row>
    <row r="475" ht="14.25" customHeight="1" spans="1:9">
      <c r="A475" s="34">
        <v>43966</v>
      </c>
      <c r="B475" s="35" t="s">
        <v>20</v>
      </c>
      <c r="C475" s="35">
        <v>29283</v>
      </c>
      <c r="D475" s="35">
        <v>2477487</v>
      </c>
      <c r="E475" s="32">
        <v>19</v>
      </c>
      <c r="F475" s="32">
        <v>1780</v>
      </c>
      <c r="G475" s="32">
        <v>1615</v>
      </c>
      <c r="H475" s="33">
        <f t="shared" si="14"/>
        <v>130394.052631579</v>
      </c>
      <c r="I475" s="37">
        <f t="shared" si="15"/>
        <v>20</v>
      </c>
    </row>
    <row r="476" ht="14.25" customHeight="1" spans="1:9">
      <c r="A476" s="30">
        <v>43980</v>
      </c>
      <c r="B476" s="31" t="s">
        <v>20</v>
      </c>
      <c r="C476" s="31">
        <v>32782.5</v>
      </c>
      <c r="D476" s="31">
        <v>2854741.5</v>
      </c>
      <c r="E476" s="32">
        <v>20</v>
      </c>
      <c r="F476" s="32">
        <v>2064</v>
      </c>
      <c r="G476" s="32">
        <v>1896</v>
      </c>
      <c r="H476" s="33">
        <f t="shared" si="14"/>
        <v>142737.075</v>
      </c>
      <c r="I476" s="37">
        <f t="shared" si="15"/>
        <v>22</v>
      </c>
    </row>
    <row r="477" ht="14.25" customHeight="1" spans="1:9">
      <c r="A477" s="34">
        <v>43978</v>
      </c>
      <c r="B477" s="35" t="s">
        <v>21</v>
      </c>
      <c r="C477" s="35">
        <v>215592</v>
      </c>
      <c r="D477" s="35">
        <v>22342300.5</v>
      </c>
      <c r="E477" s="32">
        <v>59</v>
      </c>
      <c r="F477" s="32">
        <v>13942</v>
      </c>
      <c r="G477" s="32">
        <v>12986</v>
      </c>
      <c r="H477" s="33">
        <f t="shared" si="14"/>
        <v>378683.059322034</v>
      </c>
      <c r="I477" s="37">
        <f t="shared" si="15"/>
        <v>22</v>
      </c>
    </row>
    <row r="478" ht="14.25" customHeight="1" spans="1:9">
      <c r="A478" s="30">
        <v>43973</v>
      </c>
      <c r="B478" s="31" t="s">
        <v>21</v>
      </c>
      <c r="C478" s="31">
        <v>228334.5</v>
      </c>
      <c r="D478" s="31">
        <v>22380772.5</v>
      </c>
      <c r="E478" s="32">
        <v>60</v>
      </c>
      <c r="F478" s="32">
        <v>14050</v>
      </c>
      <c r="G478" s="32">
        <v>13027</v>
      </c>
      <c r="H478" s="33">
        <f t="shared" si="14"/>
        <v>373012.875</v>
      </c>
      <c r="I478" s="37">
        <f t="shared" si="15"/>
        <v>21</v>
      </c>
    </row>
    <row r="479" ht="14.25" customHeight="1" spans="1:9">
      <c r="A479" s="34">
        <v>43983</v>
      </c>
      <c r="B479" s="35" t="s">
        <v>21</v>
      </c>
      <c r="C479" s="35">
        <v>188776.5</v>
      </c>
      <c r="D479" s="35">
        <v>19465372.5</v>
      </c>
      <c r="E479" s="32">
        <v>59</v>
      </c>
      <c r="F479" s="32">
        <v>12299</v>
      </c>
      <c r="G479" s="32">
        <v>11448</v>
      </c>
      <c r="H479" s="33">
        <f t="shared" si="14"/>
        <v>329921.56779661</v>
      </c>
      <c r="I479" s="37">
        <f t="shared" si="15"/>
        <v>23</v>
      </c>
    </row>
    <row r="480" ht="14.25" customHeight="1" spans="1:9">
      <c r="A480" s="30">
        <v>43962</v>
      </c>
      <c r="B480" s="31" t="s">
        <v>21</v>
      </c>
      <c r="C480" s="31">
        <v>175293</v>
      </c>
      <c r="D480" s="31">
        <v>17919144</v>
      </c>
      <c r="E480" s="32">
        <v>60</v>
      </c>
      <c r="F480" s="32">
        <v>11100</v>
      </c>
      <c r="G480" s="32">
        <v>10407</v>
      </c>
      <c r="H480" s="33">
        <f t="shared" si="14"/>
        <v>298652.4</v>
      </c>
      <c r="I480" s="37">
        <f t="shared" si="15"/>
        <v>20</v>
      </c>
    </row>
    <row r="481" ht="14.25" customHeight="1" spans="1:9">
      <c r="A481" s="34">
        <v>43969</v>
      </c>
      <c r="B481" s="35" t="s">
        <v>21</v>
      </c>
      <c r="C481" s="35">
        <v>201999</v>
      </c>
      <c r="D481" s="35">
        <v>20422435.5</v>
      </c>
      <c r="E481" s="32">
        <v>60</v>
      </c>
      <c r="F481" s="32">
        <v>12460</v>
      </c>
      <c r="G481" s="32">
        <v>11665</v>
      </c>
      <c r="H481" s="33">
        <f t="shared" si="14"/>
        <v>340373.925</v>
      </c>
      <c r="I481" s="37">
        <f t="shared" si="15"/>
        <v>21</v>
      </c>
    </row>
    <row r="482" ht="14.25" customHeight="1" spans="1:9">
      <c r="A482" s="30">
        <v>43965</v>
      </c>
      <c r="B482" s="31" t="s">
        <v>21</v>
      </c>
      <c r="C482" s="31">
        <v>197946</v>
      </c>
      <c r="D482" s="31">
        <v>19942435.5</v>
      </c>
      <c r="E482" s="32">
        <v>60</v>
      </c>
      <c r="F482" s="32">
        <v>11935</v>
      </c>
      <c r="G482" s="32">
        <v>11178</v>
      </c>
      <c r="H482" s="33">
        <f t="shared" si="14"/>
        <v>332373.925</v>
      </c>
      <c r="I482" s="37">
        <f t="shared" si="15"/>
        <v>20</v>
      </c>
    </row>
    <row r="483" ht="14.25" customHeight="1" spans="1:9">
      <c r="A483" s="34">
        <v>43966</v>
      </c>
      <c r="B483" s="35" t="s">
        <v>21</v>
      </c>
      <c r="C483" s="35">
        <v>230896.5</v>
      </c>
      <c r="D483" s="35">
        <v>23085222</v>
      </c>
      <c r="E483" s="32">
        <v>60</v>
      </c>
      <c r="F483" s="32">
        <v>13544</v>
      </c>
      <c r="G483" s="32">
        <v>12643</v>
      </c>
      <c r="H483" s="33">
        <f t="shared" si="14"/>
        <v>384753.7</v>
      </c>
      <c r="I483" s="37">
        <f t="shared" si="15"/>
        <v>20</v>
      </c>
    </row>
    <row r="484" ht="14.25" customHeight="1" spans="1:9">
      <c r="A484" s="30">
        <v>43978</v>
      </c>
      <c r="B484" s="31" t="s">
        <v>22</v>
      </c>
      <c r="C484" s="31">
        <v>203532</v>
      </c>
      <c r="D484" s="31">
        <v>20953324.5</v>
      </c>
      <c r="E484" s="32">
        <v>54</v>
      </c>
      <c r="F484" s="32">
        <v>13091</v>
      </c>
      <c r="G484" s="32">
        <v>12216</v>
      </c>
      <c r="H484" s="33">
        <f t="shared" si="14"/>
        <v>388024.527777778</v>
      </c>
      <c r="I484" s="37">
        <f t="shared" si="15"/>
        <v>22</v>
      </c>
    </row>
    <row r="485" ht="14.25" customHeight="1" spans="1:9">
      <c r="A485" s="34">
        <v>43973</v>
      </c>
      <c r="B485" s="35" t="s">
        <v>22</v>
      </c>
      <c r="C485" s="35">
        <v>214428</v>
      </c>
      <c r="D485" s="35">
        <v>20812585.5</v>
      </c>
      <c r="E485" s="32">
        <v>54</v>
      </c>
      <c r="F485" s="32">
        <v>13014</v>
      </c>
      <c r="G485" s="32">
        <v>12095</v>
      </c>
      <c r="H485" s="33">
        <f t="shared" si="14"/>
        <v>385418.25</v>
      </c>
      <c r="I485" s="37">
        <f t="shared" si="15"/>
        <v>21</v>
      </c>
    </row>
    <row r="486" ht="14.25" customHeight="1" spans="1:9">
      <c r="A486" s="30">
        <v>43983</v>
      </c>
      <c r="B486" s="31" t="s">
        <v>22</v>
      </c>
      <c r="C486" s="31">
        <v>183228</v>
      </c>
      <c r="D486" s="31">
        <v>18914194.5</v>
      </c>
      <c r="E486" s="32">
        <v>54</v>
      </c>
      <c r="F486" s="32">
        <v>11864</v>
      </c>
      <c r="G486" s="32">
        <v>11071</v>
      </c>
      <c r="H486" s="33">
        <f t="shared" si="14"/>
        <v>350262.861111111</v>
      </c>
      <c r="I486" s="37">
        <f t="shared" si="15"/>
        <v>23</v>
      </c>
    </row>
    <row r="487" ht="14.25" customHeight="1" spans="1:9">
      <c r="A487" s="34">
        <v>43962</v>
      </c>
      <c r="B487" s="35" t="s">
        <v>22</v>
      </c>
      <c r="C487" s="35">
        <v>166948.5</v>
      </c>
      <c r="D487" s="35">
        <v>16971231</v>
      </c>
      <c r="E487" s="32">
        <v>54</v>
      </c>
      <c r="F487" s="32">
        <v>10570</v>
      </c>
      <c r="G487" s="32">
        <v>9926</v>
      </c>
      <c r="H487" s="33">
        <f t="shared" si="14"/>
        <v>314282.055555556</v>
      </c>
      <c r="I487" s="37">
        <f t="shared" si="15"/>
        <v>20</v>
      </c>
    </row>
    <row r="488" ht="14.25" customHeight="1" spans="1:9">
      <c r="A488" s="30">
        <v>43980</v>
      </c>
      <c r="B488" s="31" t="s">
        <v>21</v>
      </c>
      <c r="C488" s="31">
        <v>232102.5</v>
      </c>
      <c r="D488" s="31">
        <v>23120443.5</v>
      </c>
      <c r="E488" s="32">
        <v>59</v>
      </c>
      <c r="F488" s="32">
        <v>14507</v>
      </c>
      <c r="G488" s="32">
        <v>13386</v>
      </c>
      <c r="H488" s="33">
        <f t="shared" si="14"/>
        <v>391871.923728814</v>
      </c>
      <c r="I488" s="37">
        <f t="shared" si="15"/>
        <v>22</v>
      </c>
    </row>
    <row r="489" ht="14.25" customHeight="1" spans="1:9">
      <c r="A489" s="34">
        <v>43969</v>
      </c>
      <c r="B489" s="35" t="s">
        <v>22</v>
      </c>
      <c r="C489" s="35">
        <v>196560</v>
      </c>
      <c r="D489" s="35">
        <v>19855122</v>
      </c>
      <c r="E489" s="32">
        <v>54</v>
      </c>
      <c r="F489" s="32">
        <v>12012</v>
      </c>
      <c r="G489" s="32">
        <v>11308</v>
      </c>
      <c r="H489" s="33">
        <f t="shared" si="14"/>
        <v>367687.444444444</v>
      </c>
      <c r="I489" s="37">
        <f t="shared" si="15"/>
        <v>21</v>
      </c>
    </row>
    <row r="490" ht="14.25" customHeight="1" spans="1:9">
      <c r="A490" s="30">
        <v>43965</v>
      </c>
      <c r="B490" s="31" t="s">
        <v>22</v>
      </c>
      <c r="C490" s="31">
        <v>186496.5</v>
      </c>
      <c r="D490" s="31">
        <v>18640998</v>
      </c>
      <c r="E490" s="32">
        <v>54</v>
      </c>
      <c r="F490" s="32">
        <v>11194</v>
      </c>
      <c r="G490" s="32">
        <v>10554</v>
      </c>
      <c r="H490" s="33">
        <f t="shared" si="14"/>
        <v>345203.666666667</v>
      </c>
      <c r="I490" s="37">
        <f t="shared" si="15"/>
        <v>20</v>
      </c>
    </row>
    <row r="491" ht="14.25" customHeight="1" spans="1:9">
      <c r="A491" s="34">
        <v>43966</v>
      </c>
      <c r="B491" s="35" t="s">
        <v>22</v>
      </c>
      <c r="C491" s="35">
        <v>219772.5</v>
      </c>
      <c r="D491" s="35">
        <v>21895294.5</v>
      </c>
      <c r="E491" s="32">
        <v>54</v>
      </c>
      <c r="F491" s="32">
        <v>12791</v>
      </c>
      <c r="G491" s="32">
        <v>11950</v>
      </c>
      <c r="H491" s="33">
        <f t="shared" si="14"/>
        <v>405468.416666667</v>
      </c>
      <c r="I491" s="37">
        <f t="shared" si="15"/>
        <v>20</v>
      </c>
    </row>
    <row r="492" ht="14.25" customHeight="1" spans="1:9">
      <c r="A492" s="30">
        <v>43980</v>
      </c>
      <c r="B492" s="31" t="s">
        <v>22</v>
      </c>
      <c r="C492" s="31">
        <v>226476</v>
      </c>
      <c r="D492" s="31">
        <v>22416151.5</v>
      </c>
      <c r="E492" s="32">
        <v>54</v>
      </c>
      <c r="F492" s="32">
        <v>14031</v>
      </c>
      <c r="G492" s="32">
        <v>12943</v>
      </c>
      <c r="H492" s="33">
        <f t="shared" si="14"/>
        <v>415113.916666667</v>
      </c>
      <c r="I492" s="37">
        <f t="shared" si="15"/>
        <v>22</v>
      </c>
    </row>
    <row r="493" ht="14.25" customHeight="1" spans="1:9">
      <c r="A493" s="34">
        <v>43978</v>
      </c>
      <c r="B493" s="35" t="s">
        <v>24</v>
      </c>
      <c r="C493" s="35">
        <v>8362.5</v>
      </c>
      <c r="D493" s="35">
        <v>687684</v>
      </c>
      <c r="E493" s="32">
        <v>7</v>
      </c>
      <c r="F493" s="32">
        <v>409</v>
      </c>
      <c r="G493" s="32">
        <v>329</v>
      </c>
      <c r="H493" s="33">
        <f t="shared" si="14"/>
        <v>98240.5714285714</v>
      </c>
      <c r="I493" s="37">
        <f t="shared" si="15"/>
        <v>22</v>
      </c>
    </row>
    <row r="494" ht="14.25" customHeight="1" spans="1:9">
      <c r="A494" s="30">
        <v>43973</v>
      </c>
      <c r="B494" s="31" t="s">
        <v>23</v>
      </c>
      <c r="C494" s="31">
        <v>17008.5</v>
      </c>
      <c r="D494" s="31">
        <v>1398771</v>
      </c>
      <c r="E494" s="32">
        <v>18</v>
      </c>
      <c r="F494" s="32">
        <v>985</v>
      </c>
      <c r="G494" s="32">
        <v>861</v>
      </c>
      <c r="H494" s="33">
        <f t="shared" si="14"/>
        <v>77709.5</v>
      </c>
      <c r="I494" s="37">
        <f t="shared" si="15"/>
        <v>21</v>
      </c>
    </row>
    <row r="495" ht="14.25" customHeight="1" spans="1:9">
      <c r="A495" s="34">
        <v>43983</v>
      </c>
      <c r="B495" s="35" t="s">
        <v>25</v>
      </c>
      <c r="C495" s="35">
        <v>5166</v>
      </c>
      <c r="D495" s="35">
        <v>389013</v>
      </c>
      <c r="E495" s="32">
        <v>9</v>
      </c>
      <c r="F495" s="32">
        <v>294</v>
      </c>
      <c r="G495" s="32">
        <v>224</v>
      </c>
      <c r="H495" s="33">
        <f t="shared" si="14"/>
        <v>43223.6666666667</v>
      </c>
      <c r="I495" s="37">
        <f t="shared" si="15"/>
        <v>23</v>
      </c>
    </row>
    <row r="496" ht="14.25" customHeight="1" spans="1:9">
      <c r="A496" s="30">
        <v>43962</v>
      </c>
      <c r="B496" s="31" t="s">
        <v>23</v>
      </c>
      <c r="C496" s="31">
        <v>10941</v>
      </c>
      <c r="D496" s="31">
        <v>880356</v>
      </c>
      <c r="E496" s="32">
        <v>15</v>
      </c>
      <c r="F496" s="32">
        <v>654</v>
      </c>
      <c r="G496" s="32">
        <v>564</v>
      </c>
      <c r="H496" s="33">
        <f t="shared" si="14"/>
        <v>58690.4</v>
      </c>
      <c r="I496" s="37">
        <f t="shared" si="15"/>
        <v>20</v>
      </c>
    </row>
    <row r="497" ht="14.25" customHeight="1" spans="1:9">
      <c r="A497" s="34">
        <v>43969</v>
      </c>
      <c r="B497" s="35" t="s">
        <v>23</v>
      </c>
      <c r="C497" s="35">
        <v>14497.5</v>
      </c>
      <c r="D497" s="35">
        <v>1230711</v>
      </c>
      <c r="E497" s="32">
        <v>16</v>
      </c>
      <c r="F497" s="32">
        <v>864</v>
      </c>
      <c r="G497" s="32">
        <v>765</v>
      </c>
      <c r="H497" s="33">
        <f t="shared" si="14"/>
        <v>76919.4375</v>
      </c>
      <c r="I497" s="37">
        <f t="shared" si="15"/>
        <v>21</v>
      </c>
    </row>
    <row r="498" ht="14.25" customHeight="1" spans="1:9">
      <c r="A498" s="30">
        <v>43965</v>
      </c>
      <c r="B498" s="31" t="s">
        <v>23</v>
      </c>
      <c r="C498" s="31">
        <v>13810.5</v>
      </c>
      <c r="D498" s="31">
        <v>1131676.5</v>
      </c>
      <c r="E498" s="32">
        <v>16</v>
      </c>
      <c r="F498" s="32">
        <v>834</v>
      </c>
      <c r="G498" s="32">
        <v>735</v>
      </c>
      <c r="H498" s="33">
        <f t="shared" si="14"/>
        <v>70729.78125</v>
      </c>
      <c r="I498" s="37">
        <f t="shared" si="15"/>
        <v>20</v>
      </c>
    </row>
    <row r="499" ht="14.25" customHeight="1" spans="1:9">
      <c r="A499" s="34">
        <v>43966</v>
      </c>
      <c r="B499" s="35" t="s">
        <v>23</v>
      </c>
      <c r="C499" s="35">
        <v>13752</v>
      </c>
      <c r="D499" s="35">
        <v>1091040</v>
      </c>
      <c r="E499" s="32">
        <v>16</v>
      </c>
      <c r="F499" s="32">
        <v>817</v>
      </c>
      <c r="G499" s="32">
        <v>718</v>
      </c>
      <c r="H499" s="33">
        <f t="shared" si="14"/>
        <v>68190</v>
      </c>
      <c r="I499" s="37">
        <f t="shared" si="15"/>
        <v>20</v>
      </c>
    </row>
    <row r="500" ht="14.25" customHeight="1" spans="1:9">
      <c r="A500" s="30">
        <v>43978</v>
      </c>
      <c r="B500" s="31" t="s">
        <v>23</v>
      </c>
      <c r="C500" s="31">
        <v>15276</v>
      </c>
      <c r="D500" s="31">
        <v>1350199.5</v>
      </c>
      <c r="E500" s="32">
        <v>18</v>
      </c>
      <c r="F500" s="32">
        <v>962</v>
      </c>
      <c r="G500" s="32">
        <v>859</v>
      </c>
      <c r="H500" s="33">
        <f t="shared" si="14"/>
        <v>75011.0833333333</v>
      </c>
      <c r="I500" s="37">
        <f t="shared" si="15"/>
        <v>22</v>
      </c>
    </row>
    <row r="501" ht="14.25" customHeight="1" spans="1:9">
      <c r="A501" s="34">
        <v>43983</v>
      </c>
      <c r="B501" s="35" t="s">
        <v>26</v>
      </c>
      <c r="C501" s="35">
        <v>4408.5</v>
      </c>
      <c r="D501" s="35">
        <v>410892</v>
      </c>
      <c r="E501" s="32">
        <v>6</v>
      </c>
      <c r="F501" s="32">
        <v>237</v>
      </c>
      <c r="G501" s="32">
        <v>175</v>
      </c>
      <c r="H501" s="33">
        <f t="shared" si="14"/>
        <v>68482</v>
      </c>
      <c r="I501" s="37">
        <f t="shared" si="15"/>
        <v>23</v>
      </c>
    </row>
    <row r="502" ht="14.25" customHeight="1" spans="1:9">
      <c r="A502" s="30">
        <v>43980</v>
      </c>
      <c r="B502" s="31" t="s">
        <v>24</v>
      </c>
      <c r="C502" s="31">
        <v>9927</v>
      </c>
      <c r="D502" s="31">
        <v>850840.5</v>
      </c>
      <c r="E502" s="32">
        <v>7</v>
      </c>
      <c r="F502" s="32">
        <v>491</v>
      </c>
      <c r="G502" s="32">
        <v>411</v>
      </c>
      <c r="H502" s="33">
        <f t="shared" si="14"/>
        <v>121548.642857143</v>
      </c>
      <c r="I502" s="37">
        <f t="shared" si="15"/>
        <v>22</v>
      </c>
    </row>
    <row r="503" ht="14.25" customHeight="1" spans="1:9">
      <c r="A503" s="34">
        <v>43983</v>
      </c>
      <c r="B503" s="35" t="s">
        <v>24</v>
      </c>
      <c r="C503" s="35">
        <v>9474</v>
      </c>
      <c r="D503" s="35">
        <v>802447.5</v>
      </c>
      <c r="E503" s="32">
        <v>7</v>
      </c>
      <c r="F503" s="32">
        <v>500</v>
      </c>
      <c r="G503" s="32">
        <v>418</v>
      </c>
      <c r="H503" s="33">
        <f t="shared" si="14"/>
        <v>114635.357142857</v>
      </c>
      <c r="I503" s="37">
        <f t="shared" si="15"/>
        <v>23</v>
      </c>
    </row>
    <row r="504" ht="14.25" customHeight="1" spans="1:9">
      <c r="A504" s="30">
        <v>43980</v>
      </c>
      <c r="B504" s="31" t="s">
        <v>23</v>
      </c>
      <c r="C504" s="31">
        <v>16878</v>
      </c>
      <c r="D504" s="31">
        <v>1438255.5</v>
      </c>
      <c r="E504" s="32">
        <v>18</v>
      </c>
      <c r="F504" s="32">
        <v>1014</v>
      </c>
      <c r="G504" s="32">
        <v>893</v>
      </c>
      <c r="H504" s="33">
        <f t="shared" si="14"/>
        <v>79903.0833333333</v>
      </c>
      <c r="I504" s="37">
        <f t="shared" si="15"/>
        <v>22</v>
      </c>
    </row>
    <row r="505" ht="14.25" customHeight="1" spans="1:9">
      <c r="A505" s="38">
        <v>43983</v>
      </c>
      <c r="B505" s="39" t="s">
        <v>23</v>
      </c>
      <c r="C505" s="39">
        <v>14238</v>
      </c>
      <c r="D505" s="39">
        <v>1293219</v>
      </c>
      <c r="E505" s="32">
        <v>18</v>
      </c>
      <c r="F505" s="32">
        <v>923</v>
      </c>
      <c r="G505" s="32">
        <v>824</v>
      </c>
      <c r="H505" s="33">
        <f t="shared" si="14"/>
        <v>71845.5</v>
      </c>
      <c r="I505" s="37">
        <f t="shared" si="15"/>
        <v>23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E1" sqref="E1"/>
    </sheetView>
  </sheetViews>
  <sheetFormatPr defaultColWidth="14.4259259259259" defaultRowHeight="15" customHeight="1" outlineLevelCol="4"/>
  <cols>
    <col min="1" max="1" width="10.4259259259259" customWidth="1"/>
    <col min="2" max="2" width="22.8611111111111" customWidth="1"/>
    <col min="3" max="3" width="22.712962962963" customWidth="1"/>
    <col min="4" max="4" width="22.1388888888889" customWidth="1"/>
    <col min="5" max="5" width="25.4259259259259" customWidth="1"/>
    <col min="6" max="26" width="8.71296296296296" customWidth="1"/>
  </cols>
  <sheetData>
    <row r="1" ht="14.25" customHeight="1" spans="1:5">
      <c r="A1" s="25" t="s">
        <v>0</v>
      </c>
      <c r="B1" s="25" t="s">
        <v>1</v>
      </c>
      <c r="C1" s="25" t="s">
        <v>4</v>
      </c>
      <c r="D1" s="25" t="s">
        <v>5</v>
      </c>
      <c r="E1" s="25" t="s">
        <v>6</v>
      </c>
    </row>
    <row r="2" ht="14.25" customHeight="1" spans="1:5">
      <c r="A2" s="26">
        <v>43949</v>
      </c>
      <c r="B2" s="27" t="s">
        <v>16</v>
      </c>
      <c r="C2" s="27">
        <v>36</v>
      </c>
      <c r="D2" s="27">
        <v>4923</v>
      </c>
      <c r="E2" s="27">
        <v>4560</v>
      </c>
    </row>
    <row r="3" ht="14.25" customHeight="1" spans="1:5">
      <c r="A3" s="26">
        <v>43949</v>
      </c>
      <c r="B3" s="27" t="s">
        <v>11</v>
      </c>
      <c r="C3" s="27">
        <v>31</v>
      </c>
      <c r="D3" s="27">
        <v>5465</v>
      </c>
      <c r="E3" s="27">
        <v>5096</v>
      </c>
    </row>
    <row r="4" ht="14.25" customHeight="1" spans="1:5">
      <c r="A4" s="26">
        <v>43949</v>
      </c>
      <c r="B4" s="27" t="s">
        <v>17</v>
      </c>
      <c r="C4" s="27">
        <v>19</v>
      </c>
      <c r="D4" s="27">
        <v>1846</v>
      </c>
      <c r="E4" s="27">
        <v>1681</v>
      </c>
    </row>
    <row r="5" ht="14.25" customHeight="1" spans="1:5">
      <c r="A5" s="26">
        <v>43949</v>
      </c>
      <c r="B5" s="27" t="s">
        <v>10</v>
      </c>
      <c r="C5" s="27">
        <v>18</v>
      </c>
      <c r="D5" s="27">
        <v>1539</v>
      </c>
      <c r="E5" s="27">
        <v>1404</v>
      </c>
    </row>
    <row r="6" ht="14.25" customHeight="1" spans="1:5">
      <c r="A6" s="26">
        <v>43949</v>
      </c>
      <c r="B6" s="27" t="s">
        <v>20</v>
      </c>
      <c r="C6" s="27">
        <v>18</v>
      </c>
      <c r="D6" s="27">
        <v>1505</v>
      </c>
      <c r="E6" s="27">
        <v>1368</v>
      </c>
    </row>
    <row r="7" ht="14.25" customHeight="1" spans="1:5">
      <c r="A7" s="26">
        <v>43949</v>
      </c>
      <c r="B7" s="27" t="s">
        <v>22</v>
      </c>
      <c r="C7" s="27">
        <v>54</v>
      </c>
      <c r="D7" s="27">
        <v>12306</v>
      </c>
      <c r="E7" s="27">
        <v>11532</v>
      </c>
    </row>
    <row r="8" ht="14.25" customHeight="1" spans="1:5">
      <c r="A8" s="26">
        <v>43949</v>
      </c>
      <c r="B8" s="27" t="s">
        <v>21</v>
      </c>
      <c r="C8" s="27">
        <v>59</v>
      </c>
      <c r="D8" s="27">
        <v>12943</v>
      </c>
      <c r="E8" s="27">
        <v>12072</v>
      </c>
    </row>
    <row r="9" ht="14.25" customHeight="1" spans="1:5">
      <c r="A9" s="26">
        <v>43949</v>
      </c>
      <c r="B9" s="27" t="s">
        <v>13</v>
      </c>
      <c r="C9" s="27">
        <v>17</v>
      </c>
      <c r="D9" s="27">
        <v>1439</v>
      </c>
      <c r="E9" s="27">
        <v>1265</v>
      </c>
    </row>
    <row r="10" ht="14.25" customHeight="1" spans="1:5">
      <c r="A10" s="26">
        <v>43949</v>
      </c>
      <c r="B10" s="27" t="s">
        <v>23</v>
      </c>
      <c r="C10" s="27">
        <v>15</v>
      </c>
      <c r="D10" s="27">
        <v>636</v>
      </c>
      <c r="E10" s="27">
        <v>547</v>
      </c>
    </row>
    <row r="11" ht="14.25" customHeight="1" spans="1:5">
      <c r="A11" s="26">
        <v>43949</v>
      </c>
      <c r="B11" s="27" t="s">
        <v>18</v>
      </c>
      <c r="C11" s="27">
        <v>15</v>
      </c>
      <c r="D11" s="27">
        <v>780</v>
      </c>
      <c r="E11" s="27">
        <v>690</v>
      </c>
    </row>
    <row r="12" ht="14.25" customHeight="1" spans="1:5">
      <c r="A12" s="26">
        <v>43949</v>
      </c>
      <c r="B12" s="27" t="s">
        <v>15</v>
      </c>
      <c r="C12" s="27">
        <v>125</v>
      </c>
      <c r="D12" s="27">
        <v>20914</v>
      </c>
      <c r="E12" s="27">
        <v>19479</v>
      </c>
    </row>
    <row r="13" ht="14.25" customHeight="1" spans="1:5">
      <c r="A13" s="26">
        <v>43949</v>
      </c>
      <c r="B13" s="27" t="s">
        <v>14</v>
      </c>
      <c r="C13" s="27">
        <v>128</v>
      </c>
      <c r="D13" s="27">
        <v>16450</v>
      </c>
      <c r="E13" s="27">
        <v>15320</v>
      </c>
    </row>
    <row r="14" ht="14.25" customHeight="1" spans="1:5">
      <c r="A14" s="26">
        <v>43949</v>
      </c>
      <c r="B14" s="27" t="s">
        <v>12</v>
      </c>
      <c r="C14" s="27">
        <v>10</v>
      </c>
      <c r="D14" s="27">
        <v>580</v>
      </c>
      <c r="E14" s="27">
        <v>506</v>
      </c>
    </row>
    <row r="15" ht="14.25" customHeight="1" spans="1:5">
      <c r="A15" s="26">
        <v>43950</v>
      </c>
      <c r="B15" s="27" t="s">
        <v>16</v>
      </c>
      <c r="C15" s="27">
        <v>36</v>
      </c>
      <c r="D15" s="27">
        <v>4937</v>
      </c>
      <c r="E15" s="27">
        <v>4561</v>
      </c>
    </row>
    <row r="16" ht="14.25" customHeight="1" spans="1:5">
      <c r="A16" s="26">
        <v>43950</v>
      </c>
      <c r="B16" s="27" t="s">
        <v>11</v>
      </c>
      <c r="C16" s="27">
        <v>31</v>
      </c>
      <c r="D16" s="27">
        <v>5378</v>
      </c>
      <c r="E16" s="27">
        <v>4985</v>
      </c>
    </row>
    <row r="17" ht="14.25" customHeight="1" spans="1:5">
      <c r="A17" s="26">
        <v>43950</v>
      </c>
      <c r="B17" s="27" t="s">
        <v>17</v>
      </c>
      <c r="C17" s="27">
        <v>19</v>
      </c>
      <c r="D17" s="27">
        <v>1676</v>
      </c>
      <c r="E17" s="27">
        <v>1516</v>
      </c>
    </row>
    <row r="18" ht="14.25" customHeight="1" spans="1:5">
      <c r="A18" s="26">
        <v>43950</v>
      </c>
      <c r="B18" s="27" t="s">
        <v>10</v>
      </c>
      <c r="C18" s="27">
        <v>18</v>
      </c>
      <c r="D18" s="27">
        <v>1684</v>
      </c>
      <c r="E18" s="27">
        <v>1528</v>
      </c>
    </row>
    <row r="19" ht="14.25" customHeight="1" spans="1:5">
      <c r="A19" s="26">
        <v>43950</v>
      </c>
      <c r="B19" s="27" t="s">
        <v>20</v>
      </c>
      <c r="C19" s="27">
        <v>18</v>
      </c>
      <c r="D19" s="27">
        <v>1599</v>
      </c>
      <c r="E19" s="27">
        <v>1450</v>
      </c>
    </row>
    <row r="20" ht="14.25" customHeight="1" spans="1:5">
      <c r="A20" s="26">
        <v>43950</v>
      </c>
      <c r="B20" s="27" t="s">
        <v>22</v>
      </c>
      <c r="C20" s="27">
        <v>54</v>
      </c>
      <c r="D20" s="27">
        <v>12747</v>
      </c>
      <c r="E20" s="27">
        <v>11884</v>
      </c>
    </row>
    <row r="21" ht="14.25" customHeight="1" spans="1:5">
      <c r="A21" s="26">
        <v>43950</v>
      </c>
      <c r="B21" s="27" t="s">
        <v>21</v>
      </c>
      <c r="C21" s="27">
        <v>59</v>
      </c>
      <c r="D21" s="27">
        <v>13186</v>
      </c>
      <c r="E21" s="27">
        <v>12251</v>
      </c>
    </row>
    <row r="22" ht="14.25" customHeight="1" spans="1:5">
      <c r="A22" s="26">
        <v>43950</v>
      </c>
      <c r="B22" s="27" t="s">
        <v>13</v>
      </c>
      <c r="C22" s="27">
        <v>18</v>
      </c>
      <c r="D22" s="27">
        <v>1534</v>
      </c>
      <c r="E22" s="27">
        <v>1369</v>
      </c>
    </row>
    <row r="23" ht="14.25" customHeight="1" spans="1:5">
      <c r="A23" s="26">
        <v>43950</v>
      </c>
      <c r="B23" s="27" t="s">
        <v>23</v>
      </c>
      <c r="C23" s="27">
        <v>15</v>
      </c>
      <c r="D23" s="27">
        <v>659</v>
      </c>
      <c r="E23" s="27">
        <v>575</v>
      </c>
    </row>
    <row r="24" ht="14.25" customHeight="1" spans="1:5">
      <c r="A24" s="26">
        <v>43950</v>
      </c>
      <c r="B24" s="27" t="s">
        <v>18</v>
      </c>
      <c r="C24" s="27">
        <v>15</v>
      </c>
      <c r="D24" s="27">
        <v>786</v>
      </c>
      <c r="E24" s="27">
        <v>695</v>
      </c>
    </row>
    <row r="25" ht="14.25" customHeight="1" spans="1:5">
      <c r="A25" s="26">
        <v>43950</v>
      </c>
      <c r="B25" s="27" t="s">
        <v>15</v>
      </c>
      <c r="C25" s="27">
        <v>125</v>
      </c>
      <c r="D25" s="27">
        <v>21863</v>
      </c>
      <c r="E25" s="27">
        <v>20160</v>
      </c>
    </row>
    <row r="26" ht="14.25" customHeight="1" spans="1:5">
      <c r="A26" s="26">
        <v>43950</v>
      </c>
      <c r="B26" s="27" t="s">
        <v>14</v>
      </c>
      <c r="C26" s="27">
        <v>128</v>
      </c>
      <c r="D26" s="27">
        <v>17368</v>
      </c>
      <c r="E26" s="27">
        <v>16077</v>
      </c>
    </row>
    <row r="27" ht="14.25" customHeight="1" spans="1:5">
      <c r="A27" s="26">
        <v>43950</v>
      </c>
      <c r="B27" s="27" t="s">
        <v>12</v>
      </c>
      <c r="C27" s="27">
        <v>10</v>
      </c>
      <c r="D27" s="27">
        <v>502</v>
      </c>
      <c r="E27" s="27">
        <v>433</v>
      </c>
    </row>
    <row r="28" ht="14.25" customHeight="1" spans="1:5">
      <c r="A28" s="26">
        <v>43951</v>
      </c>
      <c r="B28" s="27" t="s">
        <v>16</v>
      </c>
      <c r="C28" s="27">
        <v>36</v>
      </c>
      <c r="D28" s="27">
        <v>5143</v>
      </c>
      <c r="E28" s="27">
        <v>4715</v>
      </c>
    </row>
    <row r="29" ht="14.25" customHeight="1" spans="1:5">
      <c r="A29" s="26">
        <v>43951</v>
      </c>
      <c r="B29" s="27" t="s">
        <v>11</v>
      </c>
      <c r="C29" s="27">
        <v>31</v>
      </c>
      <c r="D29" s="27">
        <v>5120</v>
      </c>
      <c r="E29" s="27">
        <v>4737</v>
      </c>
    </row>
    <row r="30" ht="14.25" customHeight="1" spans="1:5">
      <c r="A30" s="26">
        <v>43951</v>
      </c>
      <c r="B30" s="27" t="s">
        <v>17</v>
      </c>
      <c r="C30" s="27">
        <v>20</v>
      </c>
      <c r="D30" s="27">
        <v>1756</v>
      </c>
      <c r="E30" s="27">
        <v>1586</v>
      </c>
    </row>
    <row r="31" ht="14.25" customHeight="1" spans="1:5">
      <c r="A31" s="26">
        <v>43951</v>
      </c>
      <c r="B31" s="27" t="s">
        <v>10</v>
      </c>
      <c r="C31" s="27">
        <v>19</v>
      </c>
      <c r="D31" s="27">
        <v>1712</v>
      </c>
      <c r="E31" s="27">
        <v>1552</v>
      </c>
    </row>
    <row r="32" ht="14.25" customHeight="1" spans="1:5">
      <c r="A32" s="26">
        <v>43951</v>
      </c>
      <c r="B32" s="27" t="s">
        <v>20</v>
      </c>
      <c r="C32" s="27">
        <v>19</v>
      </c>
      <c r="D32" s="27">
        <v>1662</v>
      </c>
      <c r="E32" s="27">
        <v>1506</v>
      </c>
    </row>
    <row r="33" ht="14.25" customHeight="1" spans="1:5">
      <c r="A33" s="26">
        <v>43951</v>
      </c>
      <c r="B33" s="27" t="s">
        <v>22</v>
      </c>
      <c r="C33" s="27">
        <v>54</v>
      </c>
      <c r="D33" s="27">
        <v>12817</v>
      </c>
      <c r="E33" s="27">
        <v>11865</v>
      </c>
    </row>
    <row r="34" ht="14.25" customHeight="1" spans="1:5">
      <c r="A34" s="26">
        <v>43951</v>
      </c>
      <c r="B34" s="27" t="s">
        <v>21</v>
      </c>
      <c r="C34" s="27">
        <v>59</v>
      </c>
      <c r="D34" s="27">
        <v>13251</v>
      </c>
      <c r="E34" s="27">
        <v>12255</v>
      </c>
    </row>
    <row r="35" ht="14.25" customHeight="1" spans="1:5">
      <c r="A35" s="26">
        <v>43951</v>
      </c>
      <c r="B35" s="27" t="s">
        <v>13</v>
      </c>
      <c r="C35" s="27">
        <v>19</v>
      </c>
      <c r="D35" s="27">
        <v>1499</v>
      </c>
      <c r="E35" s="27">
        <v>1322</v>
      </c>
    </row>
    <row r="36" ht="14.25" customHeight="1" spans="1:5">
      <c r="A36" s="26">
        <v>43951</v>
      </c>
      <c r="B36" s="27" t="s">
        <v>23</v>
      </c>
      <c r="C36" s="27">
        <v>15</v>
      </c>
      <c r="D36" s="27">
        <v>644</v>
      </c>
      <c r="E36" s="27">
        <v>550</v>
      </c>
    </row>
    <row r="37" ht="14.25" customHeight="1" spans="1:5">
      <c r="A37" s="26">
        <v>43951</v>
      </c>
      <c r="B37" s="27" t="s">
        <v>18</v>
      </c>
      <c r="C37" s="27">
        <v>15</v>
      </c>
      <c r="D37" s="27">
        <v>791</v>
      </c>
      <c r="E37" s="27">
        <v>691</v>
      </c>
    </row>
    <row r="38" ht="14.25" customHeight="1" spans="1:5">
      <c r="A38" s="26">
        <v>43951</v>
      </c>
      <c r="B38" s="27" t="s">
        <v>19</v>
      </c>
      <c r="C38" s="27">
        <v>15</v>
      </c>
      <c r="D38" s="27">
        <v>262</v>
      </c>
      <c r="E38" s="27">
        <v>195</v>
      </c>
    </row>
    <row r="39" ht="14.25" customHeight="1" spans="1:5">
      <c r="A39" s="26">
        <v>43951</v>
      </c>
      <c r="B39" s="27" t="s">
        <v>15</v>
      </c>
      <c r="C39" s="27">
        <v>125</v>
      </c>
      <c r="D39" s="27">
        <v>22368</v>
      </c>
      <c r="E39" s="27">
        <v>20625</v>
      </c>
    </row>
    <row r="40" ht="14.25" customHeight="1" spans="1:5">
      <c r="A40" s="26">
        <v>43951</v>
      </c>
      <c r="B40" s="27" t="s">
        <v>14</v>
      </c>
      <c r="C40" s="27">
        <v>129</v>
      </c>
      <c r="D40" s="27">
        <v>18042</v>
      </c>
      <c r="E40" s="27">
        <v>16631</v>
      </c>
    </row>
    <row r="41" ht="14.25" customHeight="1" spans="1:5">
      <c r="A41" s="26">
        <v>43951</v>
      </c>
      <c r="B41" s="27" t="s">
        <v>12</v>
      </c>
      <c r="C41" s="27">
        <v>10</v>
      </c>
      <c r="D41" s="27">
        <v>448</v>
      </c>
      <c r="E41" s="27">
        <v>376</v>
      </c>
    </row>
    <row r="42" ht="14.25" customHeight="1" spans="1:5">
      <c r="A42" s="26">
        <v>43952</v>
      </c>
      <c r="B42" s="27" t="s">
        <v>16</v>
      </c>
      <c r="C42" s="27">
        <v>36</v>
      </c>
      <c r="D42" s="27">
        <v>5457</v>
      </c>
      <c r="E42" s="27">
        <v>4916</v>
      </c>
    </row>
    <row r="43" ht="14.25" customHeight="1" spans="1:5">
      <c r="A43" s="26">
        <v>43952</v>
      </c>
      <c r="B43" s="27" t="s">
        <v>11</v>
      </c>
      <c r="C43" s="27">
        <v>31</v>
      </c>
      <c r="D43" s="27">
        <v>6118</v>
      </c>
      <c r="E43" s="27">
        <v>5564</v>
      </c>
    </row>
    <row r="44" ht="14.25" customHeight="1" spans="1:5">
      <c r="A44" s="26">
        <v>43952</v>
      </c>
      <c r="B44" s="27" t="s">
        <v>17</v>
      </c>
      <c r="C44" s="27">
        <v>20</v>
      </c>
      <c r="D44" s="27">
        <v>2468</v>
      </c>
      <c r="E44" s="27">
        <v>2221</v>
      </c>
    </row>
    <row r="45" ht="14.25" customHeight="1" spans="1:5">
      <c r="A45" s="26">
        <v>43952</v>
      </c>
      <c r="B45" s="27" t="s">
        <v>10</v>
      </c>
      <c r="C45" s="27">
        <v>18</v>
      </c>
      <c r="D45" s="27">
        <v>1826</v>
      </c>
      <c r="E45" s="27">
        <v>1633</v>
      </c>
    </row>
    <row r="46" ht="14.25" customHeight="1" spans="1:5">
      <c r="A46" s="26">
        <v>43952</v>
      </c>
      <c r="B46" s="27" t="s">
        <v>20</v>
      </c>
      <c r="C46" s="27">
        <v>19</v>
      </c>
      <c r="D46" s="27">
        <v>1987</v>
      </c>
      <c r="E46" s="27">
        <v>1791</v>
      </c>
    </row>
    <row r="47" ht="14.25" customHeight="1" spans="1:5">
      <c r="A47" s="26">
        <v>43952</v>
      </c>
      <c r="B47" s="27" t="s">
        <v>22</v>
      </c>
      <c r="C47" s="27">
        <v>54</v>
      </c>
      <c r="D47" s="27">
        <v>14205</v>
      </c>
      <c r="E47" s="27">
        <v>13026</v>
      </c>
    </row>
    <row r="48" ht="14.25" customHeight="1" spans="1:5">
      <c r="A48" s="26">
        <v>43952</v>
      </c>
      <c r="B48" s="27" t="s">
        <v>21</v>
      </c>
      <c r="C48" s="27">
        <v>59</v>
      </c>
      <c r="D48" s="27">
        <v>15222</v>
      </c>
      <c r="E48" s="27">
        <v>13873</v>
      </c>
    </row>
    <row r="49" ht="14.25" customHeight="1" spans="1:5">
      <c r="A49" s="26">
        <v>43952</v>
      </c>
      <c r="B49" s="27" t="s">
        <v>13</v>
      </c>
      <c r="C49" s="27">
        <v>19</v>
      </c>
      <c r="D49" s="27">
        <v>1497</v>
      </c>
      <c r="E49" s="27">
        <v>1291</v>
      </c>
    </row>
    <row r="50" ht="14.25" customHeight="1" spans="1:5">
      <c r="A50" s="26">
        <v>43952</v>
      </c>
      <c r="B50" s="27" t="s">
        <v>23</v>
      </c>
      <c r="C50" s="27">
        <v>15</v>
      </c>
      <c r="D50" s="27">
        <v>721</v>
      </c>
      <c r="E50" s="27">
        <v>625</v>
      </c>
    </row>
    <row r="51" ht="14.25" customHeight="1" spans="1:5">
      <c r="A51" s="26">
        <v>43952</v>
      </c>
      <c r="B51" s="27" t="s">
        <v>18</v>
      </c>
      <c r="C51" s="27">
        <v>15</v>
      </c>
      <c r="D51" s="27">
        <v>996</v>
      </c>
      <c r="E51" s="27">
        <v>888</v>
      </c>
    </row>
    <row r="52" ht="14.25" customHeight="1" spans="1:5">
      <c r="A52" s="26">
        <v>43952</v>
      </c>
      <c r="B52" s="27" t="s">
        <v>19</v>
      </c>
      <c r="C52" s="27">
        <v>15</v>
      </c>
      <c r="D52" s="27">
        <v>294</v>
      </c>
      <c r="E52" s="27">
        <v>225</v>
      </c>
    </row>
    <row r="53" ht="14.25" customHeight="1" spans="1:5">
      <c r="A53" s="26">
        <v>43952</v>
      </c>
      <c r="B53" s="27" t="s">
        <v>15</v>
      </c>
      <c r="C53" s="27">
        <v>125</v>
      </c>
      <c r="D53" s="27">
        <v>20602</v>
      </c>
      <c r="E53" s="27">
        <v>18845</v>
      </c>
    </row>
    <row r="54" ht="14.25" customHeight="1" spans="1:5">
      <c r="A54" s="26">
        <v>43952</v>
      </c>
      <c r="B54" s="27" t="s">
        <v>14</v>
      </c>
      <c r="C54" s="27">
        <v>129</v>
      </c>
      <c r="D54" s="27">
        <v>17002</v>
      </c>
      <c r="E54" s="27">
        <v>15570</v>
      </c>
    </row>
    <row r="55" ht="14.25" customHeight="1" spans="1:5">
      <c r="A55" s="26">
        <v>43952</v>
      </c>
      <c r="B55" s="27" t="s">
        <v>12</v>
      </c>
      <c r="C55" s="27">
        <v>10</v>
      </c>
      <c r="D55" s="27">
        <v>554</v>
      </c>
      <c r="E55" s="27">
        <v>472</v>
      </c>
    </row>
    <row r="56" ht="14.25" customHeight="1" spans="1:5">
      <c r="A56" s="26">
        <v>43953</v>
      </c>
      <c r="B56" s="27" t="s">
        <v>16</v>
      </c>
      <c r="C56" s="27">
        <v>36</v>
      </c>
      <c r="D56" s="27">
        <v>3442</v>
      </c>
      <c r="E56" s="27">
        <v>3147</v>
      </c>
    </row>
    <row r="57" ht="14.25" customHeight="1" spans="1:5">
      <c r="A57" s="26">
        <v>43953</v>
      </c>
      <c r="B57" s="27" t="s">
        <v>11</v>
      </c>
      <c r="C57" s="27">
        <v>31</v>
      </c>
      <c r="D57" s="27">
        <v>4157</v>
      </c>
      <c r="E57" s="27">
        <v>3823</v>
      </c>
    </row>
    <row r="58" ht="14.25" customHeight="1" spans="1:5">
      <c r="A58" s="26">
        <v>43953</v>
      </c>
      <c r="B58" s="27" t="s">
        <v>17</v>
      </c>
      <c r="C58" s="27">
        <v>20</v>
      </c>
      <c r="D58" s="27">
        <v>1613</v>
      </c>
      <c r="E58" s="27">
        <v>1457</v>
      </c>
    </row>
    <row r="59" ht="14.25" customHeight="1" spans="1:5">
      <c r="A59" s="26">
        <v>43953</v>
      </c>
      <c r="B59" s="27" t="s">
        <v>10</v>
      </c>
      <c r="C59" s="27">
        <v>18</v>
      </c>
      <c r="D59" s="27">
        <v>1708</v>
      </c>
      <c r="E59" s="27">
        <v>1534</v>
      </c>
    </row>
    <row r="60" ht="14.25" customHeight="1" spans="1:5">
      <c r="A60" s="26">
        <v>43953</v>
      </c>
      <c r="B60" s="27" t="s">
        <v>20</v>
      </c>
      <c r="C60" s="27">
        <v>19</v>
      </c>
      <c r="D60" s="27">
        <v>1206</v>
      </c>
      <c r="E60" s="27">
        <v>1080</v>
      </c>
    </row>
    <row r="61" ht="14.25" customHeight="1" spans="1:5">
      <c r="A61" s="26">
        <v>43953</v>
      </c>
      <c r="B61" s="27" t="s">
        <v>22</v>
      </c>
      <c r="C61" s="27">
        <v>54</v>
      </c>
      <c r="D61" s="27">
        <v>11622</v>
      </c>
      <c r="E61" s="27">
        <v>10754</v>
      </c>
    </row>
    <row r="62" ht="14.25" customHeight="1" spans="1:5">
      <c r="A62" s="26">
        <v>43953</v>
      </c>
      <c r="B62" s="27" t="s">
        <v>21</v>
      </c>
      <c r="C62" s="27">
        <v>59</v>
      </c>
      <c r="D62" s="27">
        <v>12429</v>
      </c>
      <c r="E62" s="27">
        <v>11477</v>
      </c>
    </row>
    <row r="63" ht="14.25" customHeight="1" spans="1:5">
      <c r="A63" s="26">
        <v>43953</v>
      </c>
      <c r="B63" s="27" t="s">
        <v>13</v>
      </c>
      <c r="C63" s="27">
        <v>19</v>
      </c>
      <c r="D63" s="27">
        <v>1217</v>
      </c>
      <c r="E63" s="27">
        <v>1048</v>
      </c>
    </row>
    <row r="64" ht="14.25" customHeight="1" spans="1:5">
      <c r="A64" s="26">
        <v>43953</v>
      </c>
      <c r="B64" s="27" t="s">
        <v>23</v>
      </c>
      <c r="C64" s="27">
        <v>15</v>
      </c>
      <c r="D64" s="27">
        <v>567</v>
      </c>
      <c r="E64" s="27">
        <v>493</v>
      </c>
    </row>
    <row r="65" ht="14.25" customHeight="1" spans="1:5">
      <c r="A65" s="26">
        <v>43953</v>
      </c>
      <c r="B65" s="27" t="s">
        <v>18</v>
      </c>
      <c r="C65" s="27">
        <v>15</v>
      </c>
      <c r="D65" s="27">
        <v>751</v>
      </c>
      <c r="E65" s="27">
        <v>651</v>
      </c>
    </row>
    <row r="66" ht="14.25" customHeight="1" spans="1:5">
      <c r="A66" s="26">
        <v>43953</v>
      </c>
      <c r="B66" s="27" t="s">
        <v>19</v>
      </c>
      <c r="C66" s="27">
        <v>15</v>
      </c>
      <c r="D66" s="27">
        <v>274</v>
      </c>
      <c r="E66" s="27">
        <v>203</v>
      </c>
    </row>
    <row r="67" ht="14.25" customHeight="1" spans="1:5">
      <c r="A67" s="26">
        <v>43953</v>
      </c>
      <c r="B67" s="27" t="s">
        <v>15</v>
      </c>
      <c r="C67" s="27">
        <v>125</v>
      </c>
      <c r="D67" s="27">
        <v>16932</v>
      </c>
      <c r="E67" s="27">
        <v>15601</v>
      </c>
    </row>
    <row r="68" ht="14.25" customHeight="1" spans="1:5">
      <c r="A68" s="26">
        <v>43953</v>
      </c>
      <c r="B68" s="27" t="s">
        <v>14</v>
      </c>
      <c r="C68" s="27">
        <v>129</v>
      </c>
      <c r="D68" s="27">
        <v>14009</v>
      </c>
      <c r="E68" s="27">
        <v>12920</v>
      </c>
    </row>
    <row r="69" ht="14.25" customHeight="1" spans="1:5">
      <c r="A69" s="26">
        <v>43953</v>
      </c>
      <c r="B69" s="27" t="s">
        <v>12</v>
      </c>
      <c r="C69" s="27">
        <v>10</v>
      </c>
      <c r="D69" s="27">
        <v>416</v>
      </c>
      <c r="E69" s="27">
        <v>341</v>
      </c>
    </row>
    <row r="70" ht="14.25" customHeight="1" spans="1:5">
      <c r="A70" s="26">
        <v>43954</v>
      </c>
      <c r="B70" s="27" t="s">
        <v>16</v>
      </c>
      <c r="C70" s="27">
        <v>36</v>
      </c>
      <c r="D70" s="27">
        <v>4751</v>
      </c>
      <c r="E70" s="27">
        <v>4370</v>
      </c>
    </row>
    <row r="71" ht="14.25" customHeight="1" spans="1:5">
      <c r="A71" s="26">
        <v>43954</v>
      </c>
      <c r="B71" s="27" t="s">
        <v>11</v>
      </c>
      <c r="C71" s="27">
        <v>31</v>
      </c>
      <c r="D71" s="27">
        <v>5155</v>
      </c>
      <c r="E71" s="27">
        <v>4762</v>
      </c>
    </row>
    <row r="72" ht="14.25" customHeight="1" spans="1:5">
      <c r="A72" s="26">
        <v>43954</v>
      </c>
      <c r="B72" s="27" t="s">
        <v>17</v>
      </c>
      <c r="C72" s="27">
        <v>20</v>
      </c>
      <c r="D72" s="27">
        <v>1716</v>
      </c>
      <c r="E72" s="27">
        <v>1561</v>
      </c>
    </row>
    <row r="73" ht="14.25" customHeight="1" spans="1:5">
      <c r="A73" s="26">
        <v>43954</v>
      </c>
      <c r="B73" s="27" t="s">
        <v>10</v>
      </c>
      <c r="C73" s="27">
        <v>20</v>
      </c>
      <c r="D73" s="27">
        <v>1520</v>
      </c>
      <c r="E73" s="27">
        <v>1373</v>
      </c>
    </row>
    <row r="74" ht="14.25" customHeight="1" spans="1:5">
      <c r="A74" s="26">
        <v>43954</v>
      </c>
      <c r="B74" s="27" t="s">
        <v>20</v>
      </c>
      <c r="C74" s="27">
        <v>19</v>
      </c>
      <c r="D74" s="27">
        <v>1314</v>
      </c>
      <c r="E74" s="27">
        <v>1192</v>
      </c>
    </row>
    <row r="75" ht="14.25" customHeight="1" spans="1:5">
      <c r="A75" s="26">
        <v>43954</v>
      </c>
      <c r="B75" s="27" t="s">
        <v>22</v>
      </c>
      <c r="C75" s="27">
        <v>54</v>
      </c>
      <c r="D75" s="27">
        <v>14823</v>
      </c>
      <c r="E75" s="27">
        <v>13751</v>
      </c>
    </row>
    <row r="76" ht="14.25" customHeight="1" spans="1:5">
      <c r="A76" s="26">
        <v>43954</v>
      </c>
      <c r="B76" s="27" t="s">
        <v>21</v>
      </c>
      <c r="C76" s="27">
        <v>59</v>
      </c>
      <c r="D76" s="27">
        <v>15277</v>
      </c>
      <c r="E76" s="27">
        <v>14163</v>
      </c>
    </row>
    <row r="77" ht="14.25" customHeight="1" spans="1:5">
      <c r="A77" s="26">
        <v>43954</v>
      </c>
      <c r="B77" s="27" t="s">
        <v>13</v>
      </c>
      <c r="C77" s="27">
        <v>19</v>
      </c>
      <c r="D77" s="27">
        <v>1402</v>
      </c>
      <c r="E77" s="27">
        <v>1234</v>
      </c>
    </row>
    <row r="78" ht="14.25" customHeight="1" spans="1:5">
      <c r="A78" s="26">
        <v>43954</v>
      </c>
      <c r="B78" s="27" t="s">
        <v>23</v>
      </c>
      <c r="C78" s="27">
        <v>15</v>
      </c>
      <c r="D78" s="27">
        <v>585</v>
      </c>
      <c r="E78" s="27">
        <v>502</v>
      </c>
    </row>
    <row r="79" ht="14.25" customHeight="1" spans="1:5">
      <c r="A79" s="26">
        <v>43954</v>
      </c>
      <c r="B79" s="27" t="s">
        <v>18</v>
      </c>
      <c r="C79" s="27">
        <v>15</v>
      </c>
      <c r="D79" s="27">
        <v>784</v>
      </c>
      <c r="E79" s="27">
        <v>696</v>
      </c>
    </row>
    <row r="80" ht="14.25" customHeight="1" spans="1:5">
      <c r="A80" s="26">
        <v>43954</v>
      </c>
      <c r="B80" s="27" t="s">
        <v>19</v>
      </c>
      <c r="C80" s="27">
        <v>15</v>
      </c>
      <c r="D80" s="27">
        <v>455</v>
      </c>
      <c r="E80" s="27">
        <v>384</v>
      </c>
    </row>
    <row r="81" ht="14.25" customHeight="1" spans="1:5">
      <c r="A81" s="26">
        <v>43954</v>
      </c>
      <c r="B81" s="27" t="s">
        <v>15</v>
      </c>
      <c r="C81" s="27">
        <v>125</v>
      </c>
      <c r="D81" s="27">
        <v>18861</v>
      </c>
      <c r="E81" s="27">
        <v>17420</v>
      </c>
    </row>
    <row r="82" ht="14.25" customHeight="1" spans="1:5">
      <c r="A82" s="26">
        <v>43954</v>
      </c>
      <c r="B82" s="27" t="s">
        <v>14</v>
      </c>
      <c r="C82" s="27">
        <v>129</v>
      </c>
      <c r="D82" s="27">
        <v>15778</v>
      </c>
      <c r="E82" s="27">
        <v>14624</v>
      </c>
    </row>
    <row r="83" ht="14.25" customHeight="1" spans="1:5">
      <c r="A83" s="26">
        <v>43954</v>
      </c>
      <c r="B83" s="27" t="s">
        <v>12</v>
      </c>
      <c r="C83" s="27">
        <v>10</v>
      </c>
      <c r="D83" s="27">
        <v>402</v>
      </c>
      <c r="E83" s="27">
        <v>333</v>
      </c>
    </row>
    <row r="84" ht="14.25" customHeight="1" spans="1:5">
      <c r="A84" s="26">
        <v>43955</v>
      </c>
      <c r="B84" s="27" t="s">
        <v>16</v>
      </c>
      <c r="C84" s="27">
        <v>36</v>
      </c>
      <c r="D84" s="27">
        <v>4508</v>
      </c>
      <c r="E84" s="27">
        <v>4149</v>
      </c>
    </row>
    <row r="85" ht="14.25" customHeight="1" spans="1:5">
      <c r="A85" s="26">
        <v>43955</v>
      </c>
      <c r="B85" s="27" t="s">
        <v>11</v>
      </c>
      <c r="C85" s="27">
        <v>31</v>
      </c>
      <c r="D85" s="27">
        <v>4968</v>
      </c>
      <c r="E85" s="27">
        <v>4596</v>
      </c>
    </row>
    <row r="86" ht="14.25" customHeight="1" spans="1:5">
      <c r="A86" s="26">
        <v>43955</v>
      </c>
      <c r="B86" s="27" t="s">
        <v>17</v>
      </c>
      <c r="C86" s="27">
        <v>20</v>
      </c>
      <c r="D86" s="27">
        <v>1804</v>
      </c>
      <c r="E86" s="27">
        <v>1638</v>
      </c>
    </row>
    <row r="87" ht="14.25" customHeight="1" spans="1:5">
      <c r="A87" s="26">
        <v>43955</v>
      </c>
      <c r="B87" s="27" t="s">
        <v>10</v>
      </c>
      <c r="C87" s="27">
        <v>20</v>
      </c>
      <c r="D87" s="27">
        <v>1519</v>
      </c>
      <c r="E87" s="27">
        <v>1372</v>
      </c>
    </row>
    <row r="88" ht="14.25" customHeight="1" spans="1:5">
      <c r="A88" s="26">
        <v>43955</v>
      </c>
      <c r="B88" s="27" t="s">
        <v>20</v>
      </c>
      <c r="C88" s="27">
        <v>19</v>
      </c>
      <c r="D88" s="27">
        <v>1479</v>
      </c>
      <c r="E88" s="27">
        <v>1346</v>
      </c>
    </row>
    <row r="89" ht="14.25" customHeight="1" spans="1:5">
      <c r="A89" s="26">
        <v>43955</v>
      </c>
      <c r="B89" s="27" t="s">
        <v>22</v>
      </c>
      <c r="C89" s="27">
        <v>54</v>
      </c>
      <c r="D89" s="27">
        <v>13606</v>
      </c>
      <c r="E89" s="27">
        <v>12697</v>
      </c>
    </row>
    <row r="90" ht="14.25" customHeight="1" spans="1:5">
      <c r="A90" s="26">
        <v>43955</v>
      </c>
      <c r="B90" s="27" t="s">
        <v>21</v>
      </c>
      <c r="C90" s="27">
        <v>59</v>
      </c>
      <c r="D90" s="27">
        <v>14423</v>
      </c>
      <c r="E90" s="27">
        <v>13432</v>
      </c>
    </row>
    <row r="91" ht="14.25" customHeight="1" spans="1:5">
      <c r="A91" s="26">
        <v>43955</v>
      </c>
      <c r="B91" s="27" t="s">
        <v>13</v>
      </c>
      <c r="C91" s="27">
        <v>19</v>
      </c>
      <c r="D91" s="27">
        <v>1582</v>
      </c>
      <c r="E91" s="27">
        <v>1403</v>
      </c>
    </row>
    <row r="92" ht="14.25" customHeight="1" spans="1:5">
      <c r="A92" s="26">
        <v>43955</v>
      </c>
      <c r="B92" s="27" t="s">
        <v>23</v>
      </c>
      <c r="C92" s="27">
        <v>15</v>
      </c>
      <c r="D92" s="27">
        <v>622</v>
      </c>
      <c r="E92" s="27">
        <v>538</v>
      </c>
    </row>
    <row r="93" ht="14.25" customHeight="1" spans="1:5">
      <c r="A93" s="26">
        <v>43955</v>
      </c>
      <c r="B93" s="27" t="s">
        <v>18</v>
      </c>
      <c r="C93" s="27">
        <v>15</v>
      </c>
      <c r="D93" s="27">
        <v>750</v>
      </c>
      <c r="E93" s="27">
        <v>647</v>
      </c>
    </row>
    <row r="94" ht="14.25" customHeight="1" spans="1:5">
      <c r="A94" s="26">
        <v>43955</v>
      </c>
      <c r="B94" s="27" t="s">
        <v>19</v>
      </c>
      <c r="C94" s="27">
        <v>15</v>
      </c>
      <c r="D94" s="27">
        <v>390</v>
      </c>
      <c r="E94" s="27">
        <v>315</v>
      </c>
    </row>
    <row r="95" ht="14.25" customHeight="1" spans="1:5">
      <c r="A95" s="26">
        <v>43955</v>
      </c>
      <c r="B95" s="27" t="s">
        <v>15</v>
      </c>
      <c r="C95" s="27">
        <v>125</v>
      </c>
      <c r="D95" s="27">
        <v>20495</v>
      </c>
      <c r="E95" s="27">
        <v>18964</v>
      </c>
    </row>
    <row r="96" ht="14.25" customHeight="1" spans="1:5">
      <c r="A96" s="26">
        <v>43955</v>
      </c>
      <c r="B96" s="27" t="s">
        <v>14</v>
      </c>
      <c r="C96" s="27">
        <v>129</v>
      </c>
      <c r="D96" s="27">
        <v>16525</v>
      </c>
      <c r="E96" s="27">
        <v>15310</v>
      </c>
    </row>
    <row r="97" ht="14.25" customHeight="1" spans="1:5">
      <c r="A97" s="26">
        <v>43955</v>
      </c>
      <c r="B97" s="27" t="s">
        <v>12</v>
      </c>
      <c r="C97" s="27">
        <v>10</v>
      </c>
      <c r="D97" s="27">
        <v>462</v>
      </c>
      <c r="E97" s="27">
        <v>396</v>
      </c>
    </row>
    <row r="98" ht="14.25" customHeight="1" spans="1:5">
      <c r="A98" s="26">
        <v>43956</v>
      </c>
      <c r="B98" s="27" t="s">
        <v>16</v>
      </c>
      <c r="C98" s="27">
        <v>36</v>
      </c>
      <c r="D98" s="27">
        <v>4575</v>
      </c>
      <c r="E98" s="27">
        <v>4206</v>
      </c>
    </row>
    <row r="99" ht="14.25" customHeight="1" spans="1:5">
      <c r="A99" s="26">
        <v>43956</v>
      </c>
      <c r="B99" s="27" t="s">
        <v>11</v>
      </c>
      <c r="C99" s="27">
        <v>31</v>
      </c>
      <c r="D99" s="27">
        <v>5188</v>
      </c>
      <c r="E99" s="27">
        <v>4800</v>
      </c>
    </row>
    <row r="100" ht="14.25" customHeight="1" spans="1:5">
      <c r="A100" s="26">
        <v>43956</v>
      </c>
      <c r="B100" s="27" t="s">
        <v>17</v>
      </c>
      <c r="C100" s="27">
        <v>20</v>
      </c>
      <c r="D100" s="27">
        <v>1757</v>
      </c>
      <c r="E100" s="27">
        <v>1596</v>
      </c>
    </row>
    <row r="101" ht="14.25" customHeight="1" spans="1:5">
      <c r="A101" s="26">
        <v>43956</v>
      </c>
      <c r="B101" s="27" t="s">
        <v>10</v>
      </c>
      <c r="C101" s="27">
        <v>20</v>
      </c>
      <c r="D101" s="27">
        <v>1773</v>
      </c>
      <c r="E101" s="27">
        <v>1604</v>
      </c>
    </row>
    <row r="102" ht="14.25" customHeight="1" spans="1:5">
      <c r="A102" s="26">
        <v>43956</v>
      </c>
      <c r="B102" s="27" t="s">
        <v>20</v>
      </c>
      <c r="C102" s="27">
        <v>19</v>
      </c>
      <c r="D102" s="27">
        <v>1622</v>
      </c>
      <c r="E102" s="27">
        <v>1482</v>
      </c>
    </row>
    <row r="103" ht="14.25" customHeight="1" spans="1:5">
      <c r="A103" s="26">
        <v>43956</v>
      </c>
      <c r="B103" s="27" t="s">
        <v>22</v>
      </c>
      <c r="C103" s="27">
        <v>54</v>
      </c>
      <c r="D103" s="27">
        <v>12775</v>
      </c>
      <c r="E103" s="27">
        <v>11887</v>
      </c>
    </row>
    <row r="104" ht="14.25" customHeight="1" spans="1:5">
      <c r="A104" s="26">
        <v>43956</v>
      </c>
      <c r="B104" s="27" t="s">
        <v>21</v>
      </c>
      <c r="C104" s="27">
        <v>59</v>
      </c>
      <c r="D104" s="27">
        <v>13469</v>
      </c>
      <c r="E104" s="27">
        <v>12486</v>
      </c>
    </row>
    <row r="105" ht="14.25" customHeight="1" spans="1:5">
      <c r="A105" s="26">
        <v>43956</v>
      </c>
      <c r="B105" s="27" t="s">
        <v>13</v>
      </c>
      <c r="C105" s="27">
        <v>19</v>
      </c>
      <c r="D105" s="27">
        <v>1417</v>
      </c>
      <c r="E105" s="27">
        <v>1245</v>
      </c>
    </row>
    <row r="106" ht="14.25" customHeight="1" spans="1:5">
      <c r="A106" s="26">
        <v>43956</v>
      </c>
      <c r="B106" s="27" t="s">
        <v>23</v>
      </c>
      <c r="C106" s="27">
        <v>15</v>
      </c>
      <c r="D106" s="27">
        <v>750</v>
      </c>
      <c r="E106" s="27">
        <v>658</v>
      </c>
    </row>
    <row r="107" ht="14.25" customHeight="1" spans="1:5">
      <c r="A107" s="26">
        <v>43956</v>
      </c>
      <c r="B107" s="27" t="s">
        <v>18</v>
      </c>
      <c r="C107" s="27">
        <v>15</v>
      </c>
      <c r="D107" s="27">
        <v>922</v>
      </c>
      <c r="E107" s="27">
        <v>823</v>
      </c>
    </row>
    <row r="108" ht="14.25" customHeight="1" spans="1:5">
      <c r="A108" s="26">
        <v>43956</v>
      </c>
      <c r="B108" s="27" t="s">
        <v>19</v>
      </c>
      <c r="C108" s="27">
        <v>15</v>
      </c>
      <c r="D108" s="27">
        <v>455</v>
      </c>
      <c r="E108" s="27">
        <v>381</v>
      </c>
    </row>
    <row r="109" ht="14.25" customHeight="1" spans="1:5">
      <c r="A109" s="26">
        <v>43956</v>
      </c>
      <c r="B109" s="27" t="s">
        <v>15</v>
      </c>
      <c r="C109" s="27">
        <v>125</v>
      </c>
      <c r="D109" s="27">
        <v>18944</v>
      </c>
      <c r="E109" s="27">
        <v>17541</v>
      </c>
    </row>
    <row r="110" ht="14.25" customHeight="1" spans="1:5">
      <c r="A110" s="26">
        <v>43956</v>
      </c>
      <c r="B110" s="27" t="s">
        <v>14</v>
      </c>
      <c r="C110" s="27">
        <v>129</v>
      </c>
      <c r="D110" s="27">
        <v>15665</v>
      </c>
      <c r="E110" s="27">
        <v>14501</v>
      </c>
    </row>
    <row r="111" ht="14.25" customHeight="1" spans="1:5">
      <c r="A111" s="26">
        <v>43956</v>
      </c>
      <c r="B111" s="27" t="s">
        <v>12</v>
      </c>
      <c r="C111" s="27">
        <v>10</v>
      </c>
      <c r="D111" s="27">
        <v>511</v>
      </c>
      <c r="E111" s="27">
        <v>437</v>
      </c>
    </row>
    <row r="112" ht="14.25" customHeight="1" spans="1:5">
      <c r="A112" s="26">
        <v>43957</v>
      </c>
      <c r="B112" s="27" t="s">
        <v>16</v>
      </c>
      <c r="C112" s="27">
        <v>36</v>
      </c>
      <c r="D112" s="27">
        <v>4384</v>
      </c>
      <c r="E112" s="27">
        <v>4025</v>
      </c>
    </row>
    <row r="113" ht="14.25" customHeight="1" spans="1:5">
      <c r="A113" s="26">
        <v>43957</v>
      </c>
      <c r="B113" s="27" t="s">
        <v>11</v>
      </c>
      <c r="C113" s="27">
        <v>31</v>
      </c>
      <c r="D113" s="27">
        <v>4709</v>
      </c>
      <c r="E113" s="27">
        <v>4348</v>
      </c>
    </row>
    <row r="114" ht="14.25" customHeight="1" spans="1:5">
      <c r="A114" s="26">
        <v>43957</v>
      </c>
      <c r="B114" s="27" t="s">
        <v>17</v>
      </c>
      <c r="C114" s="27">
        <v>20</v>
      </c>
      <c r="D114" s="27">
        <v>1747</v>
      </c>
      <c r="E114" s="27">
        <v>1570</v>
      </c>
    </row>
    <row r="115" ht="14.25" customHeight="1" spans="1:5">
      <c r="A115" s="26">
        <v>43957</v>
      </c>
      <c r="B115" s="27" t="s">
        <v>10</v>
      </c>
      <c r="C115" s="27">
        <v>20</v>
      </c>
      <c r="D115" s="27">
        <v>1784</v>
      </c>
      <c r="E115" s="27">
        <v>1632</v>
      </c>
    </row>
    <row r="116" ht="14.25" customHeight="1" spans="1:5">
      <c r="A116" s="26">
        <v>43957</v>
      </c>
      <c r="B116" s="27" t="s">
        <v>20</v>
      </c>
      <c r="C116" s="27">
        <v>19</v>
      </c>
      <c r="D116" s="27">
        <v>1509</v>
      </c>
      <c r="E116" s="27">
        <v>1374</v>
      </c>
    </row>
    <row r="117" ht="14.25" customHeight="1" spans="1:5">
      <c r="A117" s="26">
        <v>43957</v>
      </c>
      <c r="B117" s="27" t="s">
        <v>22</v>
      </c>
      <c r="C117" s="27">
        <v>54</v>
      </c>
      <c r="D117" s="27">
        <v>13406</v>
      </c>
      <c r="E117" s="27">
        <v>12518</v>
      </c>
    </row>
    <row r="118" ht="14.25" customHeight="1" spans="1:5">
      <c r="A118" s="26">
        <v>43957</v>
      </c>
      <c r="B118" s="27" t="s">
        <v>21</v>
      </c>
      <c r="C118" s="27">
        <v>59</v>
      </c>
      <c r="D118" s="27">
        <v>14103</v>
      </c>
      <c r="E118" s="27">
        <v>13118</v>
      </c>
    </row>
    <row r="119" ht="14.25" customHeight="1" spans="1:5">
      <c r="A119" s="26">
        <v>43957</v>
      </c>
      <c r="B119" s="27" t="s">
        <v>13</v>
      </c>
      <c r="C119" s="27">
        <v>19</v>
      </c>
      <c r="D119" s="27">
        <v>1499</v>
      </c>
      <c r="E119" s="27">
        <v>1323</v>
      </c>
    </row>
    <row r="120" ht="14.25" customHeight="1" spans="1:5">
      <c r="A120" s="26">
        <v>43957</v>
      </c>
      <c r="B120" s="27" t="s">
        <v>23</v>
      </c>
      <c r="C120" s="27">
        <v>15</v>
      </c>
      <c r="D120" s="27">
        <v>701</v>
      </c>
      <c r="E120" s="27">
        <v>611</v>
      </c>
    </row>
    <row r="121" ht="14.25" customHeight="1" spans="1:5">
      <c r="A121" s="26">
        <v>43957</v>
      </c>
      <c r="B121" s="27" t="s">
        <v>18</v>
      </c>
      <c r="C121" s="27">
        <v>15</v>
      </c>
      <c r="D121" s="27">
        <v>839</v>
      </c>
      <c r="E121" s="27">
        <v>733</v>
      </c>
    </row>
    <row r="122" ht="14.25" customHeight="1" spans="1:5">
      <c r="A122" s="26">
        <v>43957</v>
      </c>
      <c r="B122" s="27" t="s">
        <v>19</v>
      </c>
      <c r="C122" s="27">
        <v>15</v>
      </c>
      <c r="D122" s="27">
        <v>467</v>
      </c>
      <c r="E122" s="27">
        <v>389</v>
      </c>
    </row>
    <row r="123" ht="14.25" customHeight="1" spans="1:5">
      <c r="A123" s="26">
        <v>43957</v>
      </c>
      <c r="B123" s="27" t="s">
        <v>15</v>
      </c>
      <c r="C123" s="27">
        <v>125</v>
      </c>
      <c r="D123" s="27">
        <v>20218</v>
      </c>
      <c r="E123" s="27">
        <v>18647</v>
      </c>
    </row>
    <row r="124" ht="14.25" customHeight="1" spans="1:5">
      <c r="A124" s="26">
        <v>43957</v>
      </c>
      <c r="B124" s="27" t="s">
        <v>14</v>
      </c>
      <c r="C124" s="27">
        <v>129</v>
      </c>
      <c r="D124" s="27">
        <v>16376</v>
      </c>
      <c r="E124" s="27">
        <v>15197</v>
      </c>
    </row>
    <row r="125" ht="14.25" customHeight="1" spans="1:5">
      <c r="A125" s="26">
        <v>43957</v>
      </c>
      <c r="B125" s="27" t="s">
        <v>12</v>
      </c>
      <c r="C125" s="27">
        <v>10</v>
      </c>
      <c r="D125" s="27">
        <v>465</v>
      </c>
      <c r="E125" s="27">
        <v>390</v>
      </c>
    </row>
    <row r="126" ht="14.25" customHeight="1" spans="1:5">
      <c r="A126" s="26">
        <v>43958</v>
      </c>
      <c r="B126" s="27" t="s">
        <v>16</v>
      </c>
      <c r="C126" s="27">
        <v>36</v>
      </c>
      <c r="D126" s="27">
        <v>4826</v>
      </c>
      <c r="E126" s="27">
        <v>4426</v>
      </c>
    </row>
    <row r="127" ht="14.25" customHeight="1" spans="1:5">
      <c r="A127" s="26">
        <v>43958</v>
      </c>
      <c r="B127" s="27" t="s">
        <v>11</v>
      </c>
      <c r="C127" s="27">
        <v>31</v>
      </c>
      <c r="D127" s="27">
        <v>4903</v>
      </c>
      <c r="E127" s="27">
        <v>4527</v>
      </c>
    </row>
    <row r="128" ht="14.25" customHeight="1" spans="1:5">
      <c r="A128" s="26">
        <v>43958</v>
      </c>
      <c r="B128" s="27" t="s">
        <v>17</v>
      </c>
      <c r="C128" s="27">
        <v>21</v>
      </c>
      <c r="D128" s="27">
        <v>1879</v>
      </c>
      <c r="E128" s="27">
        <v>1695</v>
      </c>
    </row>
    <row r="129" ht="14.25" customHeight="1" spans="1:5">
      <c r="A129" s="26">
        <v>43958</v>
      </c>
      <c r="B129" s="27" t="s">
        <v>10</v>
      </c>
      <c r="C129" s="27">
        <v>21</v>
      </c>
      <c r="D129" s="27">
        <v>1542</v>
      </c>
      <c r="E129" s="27">
        <v>1405</v>
      </c>
    </row>
    <row r="130" ht="14.25" customHeight="1" spans="1:5">
      <c r="A130" s="26">
        <v>43958</v>
      </c>
      <c r="B130" s="27" t="s">
        <v>20</v>
      </c>
      <c r="C130" s="27">
        <v>19</v>
      </c>
      <c r="D130" s="27">
        <v>1580</v>
      </c>
      <c r="E130" s="27">
        <v>1435</v>
      </c>
    </row>
    <row r="131" ht="14.25" customHeight="1" spans="1:5">
      <c r="A131" s="26">
        <v>43958</v>
      </c>
      <c r="B131" s="27" t="s">
        <v>22</v>
      </c>
      <c r="C131" s="27">
        <v>54</v>
      </c>
      <c r="D131" s="27">
        <v>12743</v>
      </c>
      <c r="E131" s="27">
        <v>11858</v>
      </c>
    </row>
    <row r="132" ht="14.25" customHeight="1" spans="1:5">
      <c r="A132" s="26">
        <v>43958</v>
      </c>
      <c r="B132" s="27" t="s">
        <v>21</v>
      </c>
      <c r="C132" s="27">
        <v>59</v>
      </c>
      <c r="D132" s="27">
        <v>13495</v>
      </c>
      <c r="E132" s="27">
        <v>12517</v>
      </c>
    </row>
    <row r="133" ht="14.25" customHeight="1" spans="1:5">
      <c r="A133" s="26">
        <v>43958</v>
      </c>
      <c r="B133" s="27" t="s">
        <v>13</v>
      </c>
      <c r="C133" s="27">
        <v>19</v>
      </c>
      <c r="D133" s="27">
        <v>1530</v>
      </c>
      <c r="E133" s="27">
        <v>1338</v>
      </c>
    </row>
    <row r="134" ht="14.25" customHeight="1" spans="1:5">
      <c r="A134" s="26">
        <v>43958</v>
      </c>
      <c r="B134" s="27" t="s">
        <v>23</v>
      </c>
      <c r="C134" s="27">
        <v>15</v>
      </c>
      <c r="D134" s="27">
        <v>676</v>
      </c>
      <c r="E134" s="27">
        <v>591</v>
      </c>
    </row>
    <row r="135" ht="14.25" customHeight="1" spans="1:5">
      <c r="A135" s="26">
        <v>43958</v>
      </c>
      <c r="B135" s="27" t="s">
        <v>18</v>
      </c>
      <c r="C135" s="27">
        <v>15</v>
      </c>
      <c r="D135" s="27">
        <v>805</v>
      </c>
      <c r="E135" s="27">
        <v>703</v>
      </c>
    </row>
    <row r="136" ht="14.25" customHeight="1" spans="1:5">
      <c r="A136" s="26">
        <v>43958</v>
      </c>
      <c r="B136" s="27" t="s">
        <v>19</v>
      </c>
      <c r="C136" s="27">
        <v>15</v>
      </c>
      <c r="D136" s="27">
        <v>480</v>
      </c>
      <c r="E136" s="27">
        <v>398</v>
      </c>
    </row>
    <row r="137" ht="14.25" customHeight="1" spans="1:5">
      <c r="A137" s="26">
        <v>43958</v>
      </c>
      <c r="B137" s="27" t="s">
        <v>15</v>
      </c>
      <c r="C137" s="27">
        <v>125</v>
      </c>
      <c r="D137" s="27">
        <v>18014</v>
      </c>
      <c r="E137" s="27">
        <v>16675</v>
      </c>
    </row>
    <row r="138" ht="14.25" customHeight="1" spans="1:5">
      <c r="A138" s="26">
        <v>43958</v>
      </c>
      <c r="B138" s="27" t="s">
        <v>14</v>
      </c>
      <c r="C138" s="27">
        <v>129</v>
      </c>
      <c r="D138" s="27">
        <v>14582</v>
      </c>
      <c r="E138" s="27">
        <v>13512</v>
      </c>
    </row>
    <row r="139" ht="14.25" customHeight="1" spans="1:5">
      <c r="A139" s="26">
        <v>43958</v>
      </c>
      <c r="B139" s="27" t="s">
        <v>12</v>
      </c>
      <c r="C139" s="27">
        <v>10</v>
      </c>
      <c r="D139" s="27">
        <v>563</v>
      </c>
      <c r="E139" s="27">
        <v>486</v>
      </c>
    </row>
    <row r="140" ht="14.25" customHeight="1" spans="1:5">
      <c r="A140" s="26">
        <v>43959</v>
      </c>
      <c r="B140" s="27" t="s">
        <v>16</v>
      </c>
      <c r="C140" s="27">
        <v>36</v>
      </c>
      <c r="D140" s="27">
        <v>4199</v>
      </c>
      <c r="E140" s="27">
        <v>3867</v>
      </c>
    </row>
    <row r="141" ht="14.25" customHeight="1" spans="1:5">
      <c r="A141" s="26">
        <v>43959</v>
      </c>
      <c r="B141" s="27" t="s">
        <v>11</v>
      </c>
      <c r="C141" s="27">
        <v>31</v>
      </c>
      <c r="D141" s="27">
        <v>4635</v>
      </c>
      <c r="E141" s="27">
        <v>4266</v>
      </c>
    </row>
    <row r="142" ht="14.25" customHeight="1" spans="1:5">
      <c r="A142" s="26">
        <v>43959</v>
      </c>
      <c r="B142" s="27" t="s">
        <v>17</v>
      </c>
      <c r="C142" s="27">
        <v>21</v>
      </c>
      <c r="D142" s="27">
        <v>1957</v>
      </c>
      <c r="E142" s="27">
        <v>1755</v>
      </c>
    </row>
    <row r="143" ht="14.25" customHeight="1" spans="1:5">
      <c r="A143" s="26">
        <v>43959</v>
      </c>
      <c r="B143" s="27" t="s">
        <v>10</v>
      </c>
      <c r="C143" s="27">
        <v>21</v>
      </c>
      <c r="D143" s="27">
        <v>1646</v>
      </c>
      <c r="E143" s="27">
        <v>1492</v>
      </c>
    </row>
    <row r="144" ht="14.25" customHeight="1" spans="1:5">
      <c r="A144" s="26">
        <v>43959</v>
      </c>
      <c r="B144" s="27" t="s">
        <v>20</v>
      </c>
      <c r="C144" s="27">
        <v>19</v>
      </c>
      <c r="D144" s="27">
        <v>1520</v>
      </c>
      <c r="E144" s="27">
        <v>1380</v>
      </c>
    </row>
    <row r="145" ht="14.25" customHeight="1" spans="1:5">
      <c r="A145" s="26">
        <v>43959</v>
      </c>
      <c r="B145" s="27" t="s">
        <v>22</v>
      </c>
      <c r="C145" s="27">
        <v>54</v>
      </c>
      <c r="D145" s="27">
        <v>13563</v>
      </c>
      <c r="E145" s="27">
        <v>12604</v>
      </c>
    </row>
    <row r="146" ht="14.25" customHeight="1" spans="1:5">
      <c r="A146" s="26">
        <v>43959</v>
      </c>
      <c r="B146" s="27" t="s">
        <v>21</v>
      </c>
      <c r="C146" s="27">
        <v>59</v>
      </c>
      <c r="D146" s="27">
        <v>14098</v>
      </c>
      <c r="E146" s="27">
        <v>13106</v>
      </c>
    </row>
    <row r="147" ht="14.25" customHeight="1" spans="1:5">
      <c r="A147" s="26">
        <v>43959</v>
      </c>
      <c r="B147" s="27" t="s">
        <v>13</v>
      </c>
      <c r="C147" s="27">
        <v>19</v>
      </c>
      <c r="D147" s="27">
        <v>1522</v>
      </c>
      <c r="E147" s="27">
        <v>1340</v>
      </c>
    </row>
    <row r="148" ht="14.25" customHeight="1" spans="1:5">
      <c r="A148" s="26">
        <v>43959</v>
      </c>
      <c r="B148" s="27" t="s">
        <v>23</v>
      </c>
      <c r="C148" s="27">
        <v>15</v>
      </c>
      <c r="D148" s="27">
        <v>703</v>
      </c>
      <c r="E148" s="27">
        <v>609</v>
      </c>
    </row>
    <row r="149" ht="14.25" customHeight="1" spans="1:5">
      <c r="A149" s="26">
        <v>43959</v>
      </c>
      <c r="B149" s="27" t="s">
        <v>18</v>
      </c>
      <c r="C149" s="27">
        <v>15</v>
      </c>
      <c r="D149" s="27">
        <v>879</v>
      </c>
      <c r="E149" s="27">
        <v>768</v>
      </c>
    </row>
    <row r="150" ht="14.25" customHeight="1" spans="1:5">
      <c r="A150" s="26">
        <v>43959</v>
      </c>
      <c r="B150" s="27" t="s">
        <v>19</v>
      </c>
      <c r="C150" s="27">
        <v>15</v>
      </c>
      <c r="D150" s="27">
        <v>492</v>
      </c>
      <c r="E150" s="27">
        <v>412</v>
      </c>
    </row>
    <row r="151" ht="14.25" customHeight="1" spans="1:5">
      <c r="A151" s="26">
        <v>43959</v>
      </c>
      <c r="B151" s="27" t="s">
        <v>15</v>
      </c>
      <c r="C151" s="27">
        <v>125</v>
      </c>
      <c r="D151" s="27">
        <v>24620</v>
      </c>
      <c r="E151" s="27">
        <v>22641</v>
      </c>
    </row>
    <row r="152" ht="14.25" customHeight="1" spans="1:5">
      <c r="A152" s="26">
        <v>43959</v>
      </c>
      <c r="B152" s="27" t="s">
        <v>14</v>
      </c>
      <c r="C152" s="27">
        <v>129</v>
      </c>
      <c r="D152" s="27">
        <v>20452</v>
      </c>
      <c r="E152" s="27">
        <v>18857</v>
      </c>
    </row>
    <row r="153" ht="14.25" customHeight="1" spans="1:5">
      <c r="A153" s="26">
        <v>43959</v>
      </c>
      <c r="B153" s="27" t="s">
        <v>12</v>
      </c>
      <c r="C153" s="27">
        <v>10</v>
      </c>
      <c r="D153" s="27">
        <v>638</v>
      </c>
      <c r="E153" s="27">
        <v>547</v>
      </c>
    </row>
    <row r="154" ht="14.25" customHeight="1" spans="1:5">
      <c r="A154" s="26">
        <v>43960</v>
      </c>
      <c r="B154" s="27" t="s">
        <v>16</v>
      </c>
      <c r="C154" s="27">
        <v>36</v>
      </c>
      <c r="D154" s="27">
        <v>5413</v>
      </c>
      <c r="E154" s="27">
        <v>4959</v>
      </c>
    </row>
    <row r="155" ht="14.25" customHeight="1" spans="1:5">
      <c r="A155" s="26">
        <v>43960</v>
      </c>
      <c r="B155" s="27" t="s">
        <v>11</v>
      </c>
      <c r="C155" s="27">
        <v>31</v>
      </c>
      <c r="D155" s="27">
        <v>4556</v>
      </c>
      <c r="E155" s="27">
        <v>4220</v>
      </c>
    </row>
    <row r="156" ht="14.25" customHeight="1" spans="1:5">
      <c r="A156" s="26">
        <v>43960</v>
      </c>
      <c r="B156" s="27" t="s">
        <v>17</v>
      </c>
      <c r="C156" s="27">
        <v>21</v>
      </c>
      <c r="D156" s="27">
        <v>1891</v>
      </c>
      <c r="E156" s="27">
        <v>1709</v>
      </c>
    </row>
    <row r="157" ht="14.25" customHeight="1" spans="1:5">
      <c r="A157" s="26">
        <v>43960</v>
      </c>
      <c r="B157" s="27" t="s">
        <v>10</v>
      </c>
      <c r="C157" s="27">
        <v>21</v>
      </c>
      <c r="D157" s="27">
        <v>1735</v>
      </c>
      <c r="E157" s="27">
        <v>1568</v>
      </c>
    </row>
    <row r="158" ht="14.25" customHeight="1" spans="1:5">
      <c r="A158" s="26">
        <v>43960</v>
      </c>
      <c r="B158" s="27" t="s">
        <v>20</v>
      </c>
      <c r="C158" s="27">
        <v>19</v>
      </c>
      <c r="D158" s="27">
        <v>1542</v>
      </c>
      <c r="E158" s="27">
        <v>1412</v>
      </c>
    </row>
    <row r="159" ht="14.25" customHeight="1" spans="1:5">
      <c r="A159" s="26">
        <v>43960</v>
      </c>
      <c r="B159" s="27" t="s">
        <v>22</v>
      </c>
      <c r="C159" s="27">
        <v>54</v>
      </c>
      <c r="D159" s="27">
        <v>11288</v>
      </c>
      <c r="E159" s="27">
        <v>10492</v>
      </c>
    </row>
    <row r="160" ht="14.25" customHeight="1" spans="1:5">
      <c r="A160" s="26">
        <v>43960</v>
      </c>
      <c r="B160" s="27" t="s">
        <v>21</v>
      </c>
      <c r="C160" s="27">
        <v>59</v>
      </c>
      <c r="D160" s="27">
        <v>12016</v>
      </c>
      <c r="E160" s="27">
        <v>11137</v>
      </c>
    </row>
    <row r="161" ht="14.25" customHeight="1" spans="1:5">
      <c r="A161" s="26">
        <v>43960</v>
      </c>
      <c r="B161" s="27" t="s">
        <v>13</v>
      </c>
      <c r="C161" s="27">
        <v>19</v>
      </c>
      <c r="D161" s="27">
        <v>1851</v>
      </c>
      <c r="E161" s="27">
        <v>1635</v>
      </c>
    </row>
    <row r="162" ht="14.25" customHeight="1" spans="1:5">
      <c r="A162" s="26">
        <v>43960</v>
      </c>
      <c r="B162" s="27" t="s">
        <v>23</v>
      </c>
      <c r="C162" s="27">
        <v>15</v>
      </c>
      <c r="D162" s="27">
        <v>654</v>
      </c>
      <c r="E162" s="27">
        <v>570</v>
      </c>
    </row>
    <row r="163" ht="14.25" customHeight="1" spans="1:5">
      <c r="A163" s="26">
        <v>43960</v>
      </c>
      <c r="B163" s="27" t="s">
        <v>18</v>
      </c>
      <c r="C163" s="27">
        <v>15</v>
      </c>
      <c r="D163" s="27">
        <v>849</v>
      </c>
      <c r="E163" s="27">
        <v>740</v>
      </c>
    </row>
    <row r="164" ht="14.25" customHeight="1" spans="1:5">
      <c r="A164" s="26">
        <v>43960</v>
      </c>
      <c r="B164" s="27" t="s">
        <v>19</v>
      </c>
      <c r="C164" s="27">
        <v>15</v>
      </c>
      <c r="D164" s="27">
        <v>623</v>
      </c>
      <c r="E164" s="27">
        <v>535</v>
      </c>
    </row>
    <row r="165" ht="14.25" customHeight="1" spans="1:5">
      <c r="A165" s="26">
        <v>43960</v>
      </c>
      <c r="B165" s="27" t="s">
        <v>15</v>
      </c>
      <c r="C165" s="27">
        <v>125</v>
      </c>
      <c r="D165" s="27">
        <v>20132</v>
      </c>
      <c r="E165" s="27">
        <v>18617</v>
      </c>
    </row>
    <row r="166" ht="14.25" customHeight="1" spans="1:5">
      <c r="A166" s="26">
        <v>43960</v>
      </c>
      <c r="B166" s="27" t="s">
        <v>14</v>
      </c>
      <c r="C166" s="27">
        <v>129</v>
      </c>
      <c r="D166" s="27">
        <v>16420</v>
      </c>
      <c r="E166" s="27">
        <v>15169</v>
      </c>
    </row>
    <row r="167" ht="14.25" customHeight="1" spans="1:5">
      <c r="A167" s="26">
        <v>43960</v>
      </c>
      <c r="B167" s="27" t="s">
        <v>12</v>
      </c>
      <c r="C167" s="27">
        <v>10</v>
      </c>
      <c r="D167" s="27">
        <v>644</v>
      </c>
      <c r="E167" s="27">
        <v>559</v>
      </c>
    </row>
    <row r="168" ht="14.25" customHeight="1" spans="1:5">
      <c r="A168" s="26">
        <v>43961</v>
      </c>
      <c r="B168" s="27" t="s">
        <v>16</v>
      </c>
      <c r="C168" s="27">
        <v>36</v>
      </c>
      <c r="D168" s="27">
        <v>5746</v>
      </c>
      <c r="E168" s="27">
        <v>5277</v>
      </c>
    </row>
    <row r="169" ht="14.25" customHeight="1" spans="1:5">
      <c r="A169" s="26">
        <v>43961</v>
      </c>
      <c r="B169" s="27" t="s">
        <v>11</v>
      </c>
      <c r="C169" s="27">
        <v>31</v>
      </c>
      <c r="D169" s="27">
        <v>5495</v>
      </c>
      <c r="E169" s="27">
        <v>5093</v>
      </c>
    </row>
    <row r="170" ht="14.25" customHeight="1" spans="1:5">
      <c r="A170" s="26">
        <v>43961</v>
      </c>
      <c r="B170" s="27" t="s">
        <v>17</v>
      </c>
      <c r="C170" s="27">
        <v>21</v>
      </c>
      <c r="D170" s="27">
        <v>2120</v>
      </c>
      <c r="E170" s="27">
        <v>1921</v>
      </c>
    </row>
    <row r="171" ht="14.25" customHeight="1" spans="1:5">
      <c r="A171" s="26">
        <v>43961</v>
      </c>
      <c r="B171" s="27" t="s">
        <v>10</v>
      </c>
      <c r="C171" s="27">
        <v>21</v>
      </c>
      <c r="D171" s="27">
        <v>2016</v>
      </c>
      <c r="E171" s="27">
        <v>1846</v>
      </c>
    </row>
    <row r="172" ht="14.25" customHeight="1" spans="1:5">
      <c r="A172" s="26">
        <v>43961</v>
      </c>
      <c r="B172" s="27" t="s">
        <v>20</v>
      </c>
      <c r="C172" s="27">
        <v>19</v>
      </c>
      <c r="D172" s="27">
        <v>1836</v>
      </c>
      <c r="E172" s="27">
        <v>1680</v>
      </c>
    </row>
    <row r="173" ht="14.25" customHeight="1" spans="1:5">
      <c r="A173" s="26">
        <v>43961</v>
      </c>
      <c r="B173" s="27" t="s">
        <v>22</v>
      </c>
      <c r="C173" s="27">
        <v>54</v>
      </c>
      <c r="D173" s="27">
        <v>13832</v>
      </c>
      <c r="E173" s="27">
        <v>12864</v>
      </c>
    </row>
    <row r="174" ht="14.25" customHeight="1" spans="1:5">
      <c r="A174" s="26">
        <v>43961</v>
      </c>
      <c r="B174" s="27" t="s">
        <v>21</v>
      </c>
      <c r="C174" s="27">
        <v>59</v>
      </c>
      <c r="D174" s="27">
        <v>14569</v>
      </c>
      <c r="E174" s="27">
        <v>13566</v>
      </c>
    </row>
    <row r="175" ht="14.25" customHeight="1" spans="1:5">
      <c r="A175" s="26">
        <v>43961</v>
      </c>
      <c r="B175" s="27" t="s">
        <v>13</v>
      </c>
      <c r="C175" s="27">
        <v>19</v>
      </c>
      <c r="D175" s="27">
        <v>1848</v>
      </c>
      <c r="E175" s="27">
        <v>1649</v>
      </c>
    </row>
    <row r="176" ht="14.25" customHeight="1" spans="1:5">
      <c r="A176" s="26">
        <v>43961</v>
      </c>
      <c r="B176" s="27" t="s">
        <v>23</v>
      </c>
      <c r="C176" s="27">
        <v>15</v>
      </c>
      <c r="D176" s="27">
        <v>792</v>
      </c>
      <c r="E176" s="27">
        <v>695</v>
      </c>
    </row>
    <row r="177" ht="14.25" customHeight="1" spans="1:5">
      <c r="A177" s="26">
        <v>43961</v>
      </c>
      <c r="B177" s="27" t="s">
        <v>18</v>
      </c>
      <c r="C177" s="27">
        <v>15</v>
      </c>
      <c r="D177" s="27">
        <v>950</v>
      </c>
      <c r="E177" s="27">
        <v>848</v>
      </c>
    </row>
    <row r="178" ht="14.25" customHeight="1" spans="1:5">
      <c r="A178" s="26">
        <v>43961</v>
      </c>
      <c r="B178" s="27" t="s">
        <v>19</v>
      </c>
      <c r="C178" s="27">
        <v>15</v>
      </c>
      <c r="D178" s="27">
        <v>706</v>
      </c>
      <c r="E178" s="27">
        <v>608</v>
      </c>
    </row>
    <row r="179" ht="14.25" customHeight="1" spans="1:5">
      <c r="A179" s="26">
        <v>43961</v>
      </c>
      <c r="B179" s="27" t="s">
        <v>15</v>
      </c>
      <c r="C179" s="27">
        <v>125</v>
      </c>
      <c r="D179" s="27">
        <v>20368</v>
      </c>
      <c r="E179" s="27">
        <v>18884</v>
      </c>
    </row>
    <row r="180" ht="14.25" customHeight="1" spans="1:5">
      <c r="A180" s="26">
        <v>43961</v>
      </c>
      <c r="B180" s="27" t="s">
        <v>14</v>
      </c>
      <c r="C180" s="27">
        <v>129</v>
      </c>
      <c r="D180" s="27">
        <v>16437</v>
      </c>
      <c r="E180" s="27">
        <v>15285</v>
      </c>
    </row>
    <row r="181" ht="14.25" customHeight="1" spans="1:5">
      <c r="A181" s="26">
        <v>43961</v>
      </c>
      <c r="B181" s="27" t="s">
        <v>12</v>
      </c>
      <c r="C181" s="27">
        <v>10</v>
      </c>
      <c r="D181" s="27">
        <v>642</v>
      </c>
      <c r="E181" s="27">
        <v>556</v>
      </c>
    </row>
    <row r="182" ht="14.25" customHeight="1" spans="1:5">
      <c r="A182" s="26">
        <v>43962</v>
      </c>
      <c r="B182" s="27" t="s">
        <v>16</v>
      </c>
      <c r="C182" s="27">
        <v>36</v>
      </c>
      <c r="D182" s="27">
        <v>4150</v>
      </c>
      <c r="E182" s="27">
        <v>3838</v>
      </c>
    </row>
    <row r="183" ht="14.25" customHeight="1" spans="1:5">
      <c r="A183" s="26">
        <v>43962</v>
      </c>
      <c r="B183" s="27" t="s">
        <v>11</v>
      </c>
      <c r="C183" s="27">
        <v>31</v>
      </c>
      <c r="D183" s="27">
        <v>4826</v>
      </c>
      <c r="E183" s="27">
        <v>4483</v>
      </c>
    </row>
    <row r="184" ht="14.25" customHeight="1" spans="1:5">
      <c r="A184" s="26">
        <v>43962</v>
      </c>
      <c r="B184" s="27" t="s">
        <v>17</v>
      </c>
      <c r="C184" s="27">
        <v>21</v>
      </c>
      <c r="D184" s="27">
        <v>1916</v>
      </c>
      <c r="E184" s="27">
        <v>1733</v>
      </c>
    </row>
    <row r="185" ht="14.25" customHeight="1" spans="1:5">
      <c r="A185" s="26">
        <v>43962</v>
      </c>
      <c r="B185" s="27" t="s">
        <v>10</v>
      </c>
      <c r="C185" s="27">
        <v>21</v>
      </c>
      <c r="D185" s="27">
        <v>1597</v>
      </c>
      <c r="E185" s="27">
        <v>1457</v>
      </c>
    </row>
    <row r="186" ht="14.25" customHeight="1" spans="1:5">
      <c r="A186" s="26">
        <v>43962</v>
      </c>
      <c r="B186" s="27" t="s">
        <v>20</v>
      </c>
      <c r="C186" s="27">
        <v>19</v>
      </c>
      <c r="D186" s="27">
        <v>1527</v>
      </c>
      <c r="E186" s="27">
        <v>1389</v>
      </c>
    </row>
    <row r="187" ht="14.25" customHeight="1" spans="1:5">
      <c r="A187" s="26">
        <v>43962</v>
      </c>
      <c r="B187" s="27" t="s">
        <v>22</v>
      </c>
      <c r="C187" s="27">
        <v>54</v>
      </c>
      <c r="D187" s="27">
        <v>10570</v>
      </c>
      <c r="E187" s="27">
        <v>9926</v>
      </c>
    </row>
    <row r="188" ht="14.25" customHeight="1" spans="1:5">
      <c r="A188" s="26">
        <v>43962</v>
      </c>
      <c r="B188" s="27" t="s">
        <v>21</v>
      </c>
      <c r="C188" s="27">
        <v>60</v>
      </c>
      <c r="D188" s="27">
        <v>11100</v>
      </c>
      <c r="E188" s="27">
        <v>10407</v>
      </c>
    </row>
    <row r="189" ht="14.25" customHeight="1" spans="1:5">
      <c r="A189" s="26">
        <v>43962</v>
      </c>
      <c r="B189" s="27" t="s">
        <v>13</v>
      </c>
      <c r="C189" s="27">
        <v>19</v>
      </c>
      <c r="D189" s="27">
        <v>2530</v>
      </c>
      <c r="E189" s="27">
        <v>2270</v>
      </c>
    </row>
    <row r="190" ht="14.25" customHeight="1" spans="1:5">
      <c r="A190" s="26">
        <v>43962</v>
      </c>
      <c r="B190" s="27" t="s">
        <v>23</v>
      </c>
      <c r="C190" s="27">
        <v>15</v>
      </c>
      <c r="D190" s="27">
        <v>654</v>
      </c>
      <c r="E190" s="27">
        <v>564</v>
      </c>
    </row>
    <row r="191" ht="14.25" customHeight="1" spans="1:5">
      <c r="A191" s="26">
        <v>43962</v>
      </c>
      <c r="B191" s="27" t="s">
        <v>18</v>
      </c>
      <c r="C191" s="27">
        <v>15</v>
      </c>
      <c r="D191" s="27">
        <v>812</v>
      </c>
      <c r="E191" s="27">
        <v>714</v>
      </c>
    </row>
    <row r="192" ht="14.25" customHeight="1" spans="1:5">
      <c r="A192" s="26">
        <v>43962</v>
      </c>
      <c r="B192" s="27" t="s">
        <v>19</v>
      </c>
      <c r="C192" s="27">
        <v>15</v>
      </c>
      <c r="D192" s="27">
        <v>684</v>
      </c>
      <c r="E192" s="27">
        <v>585</v>
      </c>
    </row>
    <row r="193" ht="14.25" customHeight="1" spans="1:5">
      <c r="A193" s="26">
        <v>43962</v>
      </c>
      <c r="B193" s="27" t="s">
        <v>15</v>
      </c>
      <c r="C193" s="27">
        <v>125</v>
      </c>
      <c r="D193" s="27">
        <v>18066</v>
      </c>
      <c r="E193" s="27">
        <v>16883</v>
      </c>
    </row>
    <row r="194" ht="14.25" customHeight="1" spans="1:5">
      <c r="A194" s="26">
        <v>43962</v>
      </c>
      <c r="B194" s="27" t="s">
        <v>14</v>
      </c>
      <c r="C194" s="27">
        <v>129</v>
      </c>
      <c r="D194" s="27">
        <v>14043</v>
      </c>
      <c r="E194" s="27">
        <v>13167</v>
      </c>
    </row>
    <row r="195" ht="14.25" customHeight="1" spans="1:5">
      <c r="A195" s="26">
        <v>43962</v>
      </c>
      <c r="B195" s="27" t="s">
        <v>12</v>
      </c>
      <c r="C195" s="27">
        <v>10</v>
      </c>
      <c r="D195" s="27">
        <v>494</v>
      </c>
      <c r="E195" s="27">
        <v>421</v>
      </c>
    </row>
    <row r="196" ht="14.25" customHeight="1" spans="1:5">
      <c r="A196" s="26">
        <v>43963</v>
      </c>
      <c r="B196" s="27" t="s">
        <v>16</v>
      </c>
      <c r="C196" s="27">
        <v>36</v>
      </c>
      <c r="D196" s="27">
        <v>4418</v>
      </c>
      <c r="E196" s="27">
        <v>4088</v>
      </c>
    </row>
    <row r="197" ht="14.25" customHeight="1" spans="1:5">
      <c r="A197" s="26">
        <v>43963</v>
      </c>
      <c r="B197" s="27" t="s">
        <v>11</v>
      </c>
      <c r="C197" s="27">
        <v>31</v>
      </c>
      <c r="D197" s="27">
        <v>4800</v>
      </c>
      <c r="E197" s="27">
        <v>4470</v>
      </c>
    </row>
    <row r="198" ht="14.25" customHeight="1" spans="1:5">
      <c r="A198" s="26">
        <v>43963</v>
      </c>
      <c r="B198" s="27" t="s">
        <v>17</v>
      </c>
      <c r="C198" s="27">
        <v>21</v>
      </c>
      <c r="D198" s="27">
        <v>1926</v>
      </c>
      <c r="E198" s="27">
        <v>1745</v>
      </c>
    </row>
    <row r="199" ht="14.25" customHeight="1" spans="1:5">
      <c r="A199" s="26">
        <v>43963</v>
      </c>
      <c r="B199" s="27" t="s">
        <v>10</v>
      </c>
      <c r="C199" s="27">
        <v>21</v>
      </c>
      <c r="D199" s="27">
        <v>1656</v>
      </c>
      <c r="E199" s="27">
        <v>1516</v>
      </c>
    </row>
    <row r="200" ht="14.25" customHeight="1" spans="1:5">
      <c r="A200" s="26">
        <v>43963</v>
      </c>
      <c r="B200" s="27" t="s">
        <v>20</v>
      </c>
      <c r="C200" s="27">
        <v>19</v>
      </c>
      <c r="D200" s="27">
        <v>1598</v>
      </c>
      <c r="E200" s="27">
        <v>1454</v>
      </c>
    </row>
    <row r="201" ht="14.25" customHeight="1" spans="1:5">
      <c r="A201" s="26">
        <v>43963</v>
      </c>
      <c r="B201" s="27" t="s">
        <v>22</v>
      </c>
      <c r="C201" s="27">
        <v>54</v>
      </c>
      <c r="D201" s="27">
        <v>11614</v>
      </c>
      <c r="E201" s="27">
        <v>10862</v>
      </c>
    </row>
    <row r="202" ht="14.25" customHeight="1" spans="1:5">
      <c r="A202" s="26">
        <v>43963</v>
      </c>
      <c r="B202" s="27" t="s">
        <v>21</v>
      </c>
      <c r="C202" s="27">
        <v>60</v>
      </c>
      <c r="D202" s="27">
        <v>12000</v>
      </c>
      <c r="E202" s="27">
        <v>11194</v>
      </c>
    </row>
    <row r="203" ht="14.25" customHeight="1" spans="1:5">
      <c r="A203" s="26">
        <v>43963</v>
      </c>
      <c r="B203" s="27" t="s">
        <v>13</v>
      </c>
      <c r="C203" s="27">
        <v>19</v>
      </c>
      <c r="D203" s="27">
        <v>1649</v>
      </c>
      <c r="E203" s="27">
        <v>1460</v>
      </c>
    </row>
    <row r="204" ht="14.25" customHeight="1" spans="1:5">
      <c r="A204" s="26">
        <v>43963</v>
      </c>
      <c r="B204" s="27" t="s">
        <v>23</v>
      </c>
      <c r="C204" s="27">
        <v>15</v>
      </c>
      <c r="D204" s="27">
        <v>750</v>
      </c>
      <c r="E204" s="27">
        <v>659</v>
      </c>
    </row>
    <row r="205" ht="14.25" customHeight="1" spans="1:5">
      <c r="A205" s="26">
        <v>43963</v>
      </c>
      <c r="B205" s="27" t="s">
        <v>18</v>
      </c>
      <c r="C205" s="27">
        <v>15</v>
      </c>
      <c r="D205" s="27">
        <v>845</v>
      </c>
      <c r="E205" s="27">
        <v>743</v>
      </c>
    </row>
    <row r="206" ht="14.25" customHeight="1" spans="1:5">
      <c r="A206" s="26">
        <v>43963</v>
      </c>
      <c r="B206" s="27" t="s">
        <v>19</v>
      </c>
      <c r="C206" s="27">
        <v>15</v>
      </c>
      <c r="D206" s="27">
        <v>624</v>
      </c>
      <c r="E206" s="27">
        <v>538</v>
      </c>
    </row>
    <row r="207" ht="14.25" customHeight="1" spans="1:5">
      <c r="A207" s="26">
        <v>43963</v>
      </c>
      <c r="B207" s="27" t="s">
        <v>15</v>
      </c>
      <c r="C207" s="27">
        <v>125</v>
      </c>
      <c r="D207" s="27">
        <v>21106</v>
      </c>
      <c r="E207" s="27">
        <v>19651</v>
      </c>
    </row>
    <row r="208" ht="14.25" customHeight="1" spans="1:5">
      <c r="A208" s="26">
        <v>43963</v>
      </c>
      <c r="B208" s="27" t="s">
        <v>14</v>
      </c>
      <c r="C208" s="27">
        <v>129</v>
      </c>
      <c r="D208" s="27">
        <v>16387</v>
      </c>
      <c r="E208" s="27">
        <v>15322</v>
      </c>
    </row>
    <row r="209" ht="14.25" customHeight="1" spans="1:5">
      <c r="A209" s="26">
        <v>43963</v>
      </c>
      <c r="B209" s="27" t="s">
        <v>12</v>
      </c>
      <c r="C209" s="27">
        <v>10</v>
      </c>
      <c r="D209" s="27">
        <v>526</v>
      </c>
      <c r="E209" s="27">
        <v>448</v>
      </c>
    </row>
    <row r="210" ht="14.25" customHeight="1" spans="1:5">
      <c r="A210" s="26">
        <v>43964</v>
      </c>
      <c r="B210" s="27" t="s">
        <v>16</v>
      </c>
      <c r="C210" s="27">
        <v>36</v>
      </c>
      <c r="D210" s="27">
        <v>4967</v>
      </c>
      <c r="E210" s="27">
        <v>4583</v>
      </c>
    </row>
    <row r="211" ht="14.25" customHeight="1" spans="1:5">
      <c r="A211" s="26">
        <v>43964</v>
      </c>
      <c r="B211" s="27" t="s">
        <v>11</v>
      </c>
      <c r="C211" s="27">
        <v>31</v>
      </c>
      <c r="D211" s="27">
        <v>5251</v>
      </c>
      <c r="E211" s="27">
        <v>4853</v>
      </c>
    </row>
    <row r="212" ht="14.25" customHeight="1" spans="1:5">
      <c r="A212" s="26">
        <v>43964</v>
      </c>
      <c r="B212" s="27" t="s">
        <v>17</v>
      </c>
      <c r="C212" s="27">
        <v>21</v>
      </c>
      <c r="D212" s="27">
        <v>2061</v>
      </c>
      <c r="E212" s="27">
        <v>1876</v>
      </c>
    </row>
    <row r="213" ht="14.25" customHeight="1" spans="1:5">
      <c r="A213" s="26">
        <v>43964</v>
      </c>
      <c r="B213" s="27" t="s">
        <v>10</v>
      </c>
      <c r="C213" s="27">
        <v>21</v>
      </c>
      <c r="D213" s="27">
        <v>1698</v>
      </c>
      <c r="E213" s="27">
        <v>1554</v>
      </c>
    </row>
    <row r="214" ht="14.25" customHeight="1" spans="1:5">
      <c r="A214" s="26">
        <v>43964</v>
      </c>
      <c r="B214" s="27" t="s">
        <v>20</v>
      </c>
      <c r="C214" s="27">
        <v>19</v>
      </c>
      <c r="D214" s="27">
        <v>1605</v>
      </c>
      <c r="E214" s="27">
        <v>1447</v>
      </c>
    </row>
    <row r="215" ht="14.25" customHeight="1" spans="1:5">
      <c r="A215" s="26">
        <v>43964</v>
      </c>
      <c r="B215" s="27" t="s">
        <v>22</v>
      </c>
      <c r="C215" s="27">
        <v>54</v>
      </c>
      <c r="D215" s="27">
        <v>11522</v>
      </c>
      <c r="E215" s="27">
        <v>10803</v>
      </c>
    </row>
    <row r="216" ht="14.25" customHeight="1" spans="1:5">
      <c r="A216" s="26">
        <v>43964</v>
      </c>
      <c r="B216" s="27" t="s">
        <v>21</v>
      </c>
      <c r="C216" s="27">
        <v>60</v>
      </c>
      <c r="D216" s="27">
        <v>12007</v>
      </c>
      <c r="E216" s="27">
        <v>11245</v>
      </c>
    </row>
    <row r="217" ht="14.25" customHeight="1" spans="1:5">
      <c r="A217" s="26">
        <v>43964</v>
      </c>
      <c r="B217" s="27" t="s">
        <v>13</v>
      </c>
      <c r="C217" s="27">
        <v>19</v>
      </c>
      <c r="D217" s="27">
        <v>1625</v>
      </c>
      <c r="E217" s="27">
        <v>1444</v>
      </c>
    </row>
    <row r="218" ht="14.25" customHeight="1" spans="1:5">
      <c r="A218" s="26">
        <v>43964</v>
      </c>
      <c r="B218" s="27" t="s">
        <v>23</v>
      </c>
      <c r="C218" s="27">
        <v>15</v>
      </c>
      <c r="D218" s="27">
        <v>854</v>
      </c>
      <c r="E218" s="27">
        <v>756</v>
      </c>
    </row>
    <row r="219" ht="14.25" customHeight="1" spans="1:5">
      <c r="A219" s="26">
        <v>43964</v>
      </c>
      <c r="B219" s="27" t="s">
        <v>18</v>
      </c>
      <c r="C219" s="27">
        <v>15</v>
      </c>
      <c r="D219" s="27">
        <v>898</v>
      </c>
      <c r="E219" s="27">
        <v>795</v>
      </c>
    </row>
    <row r="220" ht="14.25" customHeight="1" spans="1:5">
      <c r="A220" s="26">
        <v>43964</v>
      </c>
      <c r="B220" s="27" t="s">
        <v>19</v>
      </c>
      <c r="C220" s="27">
        <v>15</v>
      </c>
      <c r="D220" s="27">
        <v>599</v>
      </c>
      <c r="E220" s="27">
        <v>515</v>
      </c>
    </row>
    <row r="221" ht="14.25" customHeight="1" spans="1:5">
      <c r="A221" s="26">
        <v>43964</v>
      </c>
      <c r="B221" s="27" t="s">
        <v>15</v>
      </c>
      <c r="C221" s="27">
        <v>125</v>
      </c>
      <c r="D221" s="27">
        <v>19965</v>
      </c>
      <c r="E221" s="27">
        <v>18573</v>
      </c>
    </row>
    <row r="222" ht="14.25" customHeight="1" spans="1:5">
      <c r="A222" s="26">
        <v>43964</v>
      </c>
      <c r="B222" s="27" t="s">
        <v>14</v>
      </c>
      <c r="C222" s="27">
        <v>129</v>
      </c>
      <c r="D222" s="27">
        <v>15304</v>
      </c>
      <c r="E222" s="27">
        <v>14315</v>
      </c>
    </row>
    <row r="223" ht="14.25" customHeight="1" spans="1:5">
      <c r="A223" s="26">
        <v>43964</v>
      </c>
      <c r="B223" s="27" t="s">
        <v>12</v>
      </c>
      <c r="C223" s="27">
        <v>10</v>
      </c>
      <c r="D223" s="27">
        <v>612</v>
      </c>
      <c r="E223" s="27">
        <v>530</v>
      </c>
    </row>
    <row r="224" ht="14.25" customHeight="1" spans="1:5">
      <c r="A224" s="26">
        <v>43965</v>
      </c>
      <c r="B224" s="27" t="s">
        <v>16</v>
      </c>
      <c r="C224" s="27">
        <v>36</v>
      </c>
      <c r="D224" s="27">
        <v>4285</v>
      </c>
      <c r="E224" s="27">
        <v>3950</v>
      </c>
    </row>
    <row r="225" ht="14.25" customHeight="1" spans="1:5">
      <c r="A225" s="26">
        <v>43965</v>
      </c>
      <c r="B225" s="27" t="s">
        <v>11</v>
      </c>
      <c r="C225" s="27">
        <v>31</v>
      </c>
      <c r="D225" s="27">
        <v>4695</v>
      </c>
      <c r="E225" s="27">
        <v>4372</v>
      </c>
    </row>
    <row r="226" ht="14.25" customHeight="1" spans="1:5">
      <c r="A226" s="26">
        <v>43965</v>
      </c>
      <c r="B226" s="27" t="s">
        <v>17</v>
      </c>
      <c r="C226" s="27">
        <v>21</v>
      </c>
      <c r="D226" s="27">
        <v>1993</v>
      </c>
      <c r="E226" s="27">
        <v>1796</v>
      </c>
    </row>
    <row r="227" ht="14.25" customHeight="1" spans="1:5">
      <c r="A227" s="26">
        <v>43965</v>
      </c>
      <c r="B227" s="27" t="s">
        <v>10</v>
      </c>
      <c r="C227" s="27">
        <v>21</v>
      </c>
      <c r="D227" s="27">
        <v>1706</v>
      </c>
      <c r="E227" s="27">
        <v>1548</v>
      </c>
    </row>
    <row r="228" ht="14.25" customHeight="1" spans="1:5">
      <c r="A228" s="26">
        <v>43965</v>
      </c>
      <c r="B228" s="27" t="s">
        <v>20</v>
      </c>
      <c r="C228" s="27">
        <v>19</v>
      </c>
      <c r="D228" s="27">
        <v>1635</v>
      </c>
      <c r="E228" s="27">
        <v>1487</v>
      </c>
    </row>
    <row r="229" ht="14.25" customHeight="1" spans="1:5">
      <c r="A229" s="26">
        <v>43965</v>
      </c>
      <c r="B229" s="27" t="s">
        <v>22</v>
      </c>
      <c r="C229" s="27">
        <v>54</v>
      </c>
      <c r="D229" s="27">
        <v>11194</v>
      </c>
      <c r="E229" s="27">
        <v>10554</v>
      </c>
    </row>
    <row r="230" ht="14.25" customHeight="1" spans="1:5">
      <c r="A230" s="26">
        <v>43965</v>
      </c>
      <c r="B230" s="27" t="s">
        <v>21</v>
      </c>
      <c r="C230" s="27">
        <v>60</v>
      </c>
      <c r="D230" s="27">
        <v>11935</v>
      </c>
      <c r="E230" s="27">
        <v>11178</v>
      </c>
    </row>
    <row r="231" ht="14.25" customHeight="1" spans="1:5">
      <c r="A231" s="26">
        <v>43965</v>
      </c>
      <c r="B231" s="27" t="s">
        <v>13</v>
      </c>
      <c r="C231" s="27">
        <v>19</v>
      </c>
      <c r="D231" s="27">
        <v>1675</v>
      </c>
      <c r="E231" s="27">
        <v>1475</v>
      </c>
    </row>
    <row r="232" ht="14.25" customHeight="1" spans="1:5">
      <c r="A232" s="26">
        <v>43965</v>
      </c>
      <c r="B232" s="27" t="s">
        <v>23</v>
      </c>
      <c r="C232" s="27">
        <v>16</v>
      </c>
      <c r="D232" s="27">
        <v>834</v>
      </c>
      <c r="E232" s="27">
        <v>735</v>
      </c>
    </row>
    <row r="233" ht="14.25" customHeight="1" spans="1:5">
      <c r="A233" s="26">
        <v>43965</v>
      </c>
      <c r="B233" s="27" t="s">
        <v>18</v>
      </c>
      <c r="C233" s="27">
        <v>15</v>
      </c>
      <c r="D233" s="27">
        <v>890</v>
      </c>
      <c r="E233" s="27">
        <v>777</v>
      </c>
    </row>
    <row r="234" ht="14.25" customHeight="1" spans="1:5">
      <c r="A234" s="26">
        <v>43965</v>
      </c>
      <c r="B234" s="27" t="s">
        <v>19</v>
      </c>
      <c r="C234" s="27">
        <v>15</v>
      </c>
      <c r="D234" s="27">
        <v>638</v>
      </c>
      <c r="E234" s="27">
        <v>548</v>
      </c>
    </row>
    <row r="235" ht="14.25" customHeight="1" spans="1:5">
      <c r="A235" s="26">
        <v>43965</v>
      </c>
      <c r="B235" s="27" t="s">
        <v>15</v>
      </c>
      <c r="C235" s="27">
        <v>125</v>
      </c>
      <c r="D235" s="27">
        <v>20247</v>
      </c>
      <c r="E235" s="27">
        <v>18812</v>
      </c>
    </row>
    <row r="236" ht="14.25" customHeight="1" spans="1:5">
      <c r="A236" s="26">
        <v>43965</v>
      </c>
      <c r="B236" s="27" t="s">
        <v>14</v>
      </c>
      <c r="C236" s="27">
        <v>129</v>
      </c>
      <c r="D236" s="27">
        <v>15804</v>
      </c>
      <c r="E236" s="27">
        <v>14738</v>
      </c>
    </row>
    <row r="237" ht="14.25" customHeight="1" spans="1:5">
      <c r="A237" s="26">
        <v>43965</v>
      </c>
      <c r="B237" s="27" t="s">
        <v>12</v>
      </c>
      <c r="C237" s="27">
        <v>10</v>
      </c>
      <c r="D237" s="27">
        <v>627</v>
      </c>
      <c r="E237" s="27">
        <v>545</v>
      </c>
    </row>
    <row r="238" ht="14.25" customHeight="1" spans="1:5">
      <c r="A238" s="26">
        <v>43966</v>
      </c>
      <c r="B238" s="27" t="s">
        <v>16</v>
      </c>
      <c r="C238" s="27">
        <v>36</v>
      </c>
      <c r="D238" s="27">
        <v>4862</v>
      </c>
      <c r="E238" s="27">
        <v>4476</v>
      </c>
    </row>
    <row r="239" ht="14.25" customHeight="1" spans="1:5">
      <c r="A239" s="26">
        <v>43966</v>
      </c>
      <c r="B239" s="27" t="s">
        <v>11</v>
      </c>
      <c r="C239" s="27">
        <v>31</v>
      </c>
      <c r="D239" s="27">
        <v>5184</v>
      </c>
      <c r="E239" s="27">
        <v>4778</v>
      </c>
    </row>
    <row r="240" ht="14.25" customHeight="1" spans="1:5">
      <c r="A240" s="26">
        <v>43966</v>
      </c>
      <c r="B240" s="27" t="s">
        <v>17</v>
      </c>
      <c r="C240" s="27">
        <v>21</v>
      </c>
      <c r="D240" s="27">
        <v>2255</v>
      </c>
      <c r="E240" s="27">
        <v>2045</v>
      </c>
    </row>
    <row r="241" ht="14.25" customHeight="1" spans="1:5">
      <c r="A241" s="26">
        <v>43966</v>
      </c>
      <c r="B241" s="27" t="s">
        <v>10</v>
      </c>
      <c r="C241" s="27">
        <v>21</v>
      </c>
      <c r="D241" s="27">
        <v>1926</v>
      </c>
      <c r="E241" s="27">
        <v>1742</v>
      </c>
    </row>
    <row r="242" ht="14.25" customHeight="1" spans="1:5">
      <c r="A242" s="26">
        <v>43966</v>
      </c>
      <c r="B242" s="27" t="s">
        <v>20</v>
      </c>
      <c r="C242" s="27">
        <v>19</v>
      </c>
      <c r="D242" s="27">
        <v>1780</v>
      </c>
      <c r="E242" s="27">
        <v>1615</v>
      </c>
    </row>
    <row r="243" ht="14.25" customHeight="1" spans="1:5">
      <c r="A243" s="26">
        <v>43966</v>
      </c>
      <c r="B243" s="27" t="s">
        <v>22</v>
      </c>
      <c r="C243" s="27">
        <v>54</v>
      </c>
      <c r="D243" s="27">
        <v>12791</v>
      </c>
      <c r="E243" s="27">
        <v>11950</v>
      </c>
    </row>
    <row r="244" ht="14.25" customHeight="1" spans="1:5">
      <c r="A244" s="26">
        <v>43966</v>
      </c>
      <c r="B244" s="27" t="s">
        <v>21</v>
      </c>
      <c r="C244" s="27">
        <v>60</v>
      </c>
      <c r="D244" s="27">
        <v>13544</v>
      </c>
      <c r="E244" s="27">
        <v>12643</v>
      </c>
    </row>
    <row r="245" ht="14.25" customHeight="1" spans="1:5">
      <c r="A245" s="26">
        <v>43966</v>
      </c>
      <c r="B245" s="27" t="s">
        <v>13</v>
      </c>
      <c r="C245" s="27">
        <v>19</v>
      </c>
      <c r="D245" s="27">
        <v>1940</v>
      </c>
      <c r="E245" s="27">
        <v>1715</v>
      </c>
    </row>
    <row r="246" ht="14.25" customHeight="1" spans="1:5">
      <c r="A246" s="26">
        <v>43966</v>
      </c>
      <c r="B246" s="27" t="s">
        <v>23</v>
      </c>
      <c r="C246" s="27">
        <v>16</v>
      </c>
      <c r="D246" s="27">
        <v>817</v>
      </c>
      <c r="E246" s="27">
        <v>718</v>
      </c>
    </row>
    <row r="247" ht="14.25" customHeight="1" spans="1:5">
      <c r="A247" s="26">
        <v>43966</v>
      </c>
      <c r="B247" s="27" t="s">
        <v>18</v>
      </c>
      <c r="C247" s="27">
        <v>15</v>
      </c>
      <c r="D247" s="27">
        <v>980</v>
      </c>
      <c r="E247" s="27">
        <v>867</v>
      </c>
    </row>
    <row r="248" ht="14.25" customHeight="1" spans="1:5">
      <c r="A248" s="26">
        <v>43966</v>
      </c>
      <c r="B248" s="27" t="s">
        <v>19</v>
      </c>
      <c r="C248" s="27">
        <v>15</v>
      </c>
      <c r="D248" s="27">
        <v>688</v>
      </c>
      <c r="E248" s="27">
        <v>598</v>
      </c>
    </row>
    <row r="249" ht="14.25" customHeight="1" spans="1:5">
      <c r="A249" s="26">
        <v>43966</v>
      </c>
      <c r="B249" s="27" t="s">
        <v>15</v>
      </c>
      <c r="C249" s="27">
        <v>125</v>
      </c>
      <c r="D249" s="27">
        <v>21862</v>
      </c>
      <c r="E249" s="27">
        <v>20235</v>
      </c>
    </row>
    <row r="250" ht="14.25" customHeight="1" spans="1:5">
      <c r="A250" s="26">
        <v>43966</v>
      </c>
      <c r="B250" s="27" t="s">
        <v>14</v>
      </c>
      <c r="C250" s="27">
        <v>129</v>
      </c>
      <c r="D250" s="27">
        <v>17808</v>
      </c>
      <c r="E250" s="27">
        <v>16486</v>
      </c>
    </row>
    <row r="251" ht="14.25" customHeight="1" spans="1:5">
      <c r="A251" s="26">
        <v>43966</v>
      </c>
      <c r="B251" s="27" t="s">
        <v>12</v>
      </c>
      <c r="C251" s="27">
        <v>10</v>
      </c>
      <c r="D251" s="27">
        <v>743</v>
      </c>
      <c r="E251" s="27">
        <v>652</v>
      </c>
    </row>
    <row r="252" ht="14.25" customHeight="1" spans="1:5">
      <c r="A252" s="26">
        <v>43967</v>
      </c>
      <c r="B252" s="27" t="s">
        <v>16</v>
      </c>
      <c r="C252" s="27">
        <v>36</v>
      </c>
      <c r="D252" s="27">
        <v>5286</v>
      </c>
      <c r="E252" s="27">
        <v>4867</v>
      </c>
    </row>
    <row r="253" ht="14.25" customHeight="1" spans="1:5">
      <c r="A253" s="26">
        <v>43967</v>
      </c>
      <c r="B253" s="27" t="s">
        <v>11</v>
      </c>
      <c r="C253" s="27">
        <v>31</v>
      </c>
      <c r="D253" s="27">
        <v>5593</v>
      </c>
      <c r="E253" s="27">
        <v>5177</v>
      </c>
    </row>
    <row r="254" ht="14.25" customHeight="1" spans="1:5">
      <c r="A254" s="26">
        <v>43967</v>
      </c>
      <c r="B254" s="27" t="s">
        <v>17</v>
      </c>
      <c r="C254" s="27">
        <v>21</v>
      </c>
      <c r="D254" s="27">
        <v>2427</v>
      </c>
      <c r="E254" s="27">
        <v>2213</v>
      </c>
    </row>
    <row r="255" ht="14.25" customHeight="1" spans="1:5">
      <c r="A255" s="26">
        <v>43967</v>
      </c>
      <c r="B255" s="27" t="s">
        <v>10</v>
      </c>
      <c r="C255" s="27">
        <v>21</v>
      </c>
      <c r="D255" s="27">
        <v>2145</v>
      </c>
      <c r="E255" s="27">
        <v>1947</v>
      </c>
    </row>
    <row r="256" ht="14.25" customHeight="1" spans="1:5">
      <c r="A256" s="26">
        <v>43967</v>
      </c>
      <c r="B256" s="27" t="s">
        <v>20</v>
      </c>
      <c r="C256" s="27">
        <v>19</v>
      </c>
      <c r="D256" s="27">
        <v>2039</v>
      </c>
      <c r="E256" s="27">
        <v>1868</v>
      </c>
    </row>
    <row r="257" ht="14.25" customHeight="1" spans="1:5">
      <c r="A257" s="26">
        <v>43967</v>
      </c>
      <c r="B257" s="27" t="s">
        <v>22</v>
      </c>
      <c r="C257" s="27">
        <v>54</v>
      </c>
      <c r="D257" s="27">
        <v>13170</v>
      </c>
      <c r="E257" s="27">
        <v>12299</v>
      </c>
    </row>
    <row r="258" ht="14.25" customHeight="1" spans="1:5">
      <c r="A258" s="26">
        <v>43967</v>
      </c>
      <c r="B258" s="27" t="s">
        <v>21</v>
      </c>
      <c r="C258" s="27">
        <v>60</v>
      </c>
      <c r="D258" s="27">
        <v>14049</v>
      </c>
      <c r="E258" s="27">
        <v>13118</v>
      </c>
    </row>
    <row r="259" ht="14.25" customHeight="1" spans="1:5">
      <c r="A259" s="26">
        <v>43967</v>
      </c>
      <c r="B259" s="27" t="s">
        <v>13</v>
      </c>
      <c r="C259" s="27">
        <v>19</v>
      </c>
      <c r="D259" s="27">
        <v>2080</v>
      </c>
      <c r="E259" s="27">
        <v>1844</v>
      </c>
    </row>
    <row r="260" ht="14.25" customHeight="1" spans="1:5">
      <c r="A260" s="26">
        <v>43967</v>
      </c>
      <c r="B260" s="27" t="s">
        <v>23</v>
      </c>
      <c r="C260" s="27">
        <v>16</v>
      </c>
      <c r="D260" s="27">
        <v>920</v>
      </c>
      <c r="E260" s="27">
        <v>818</v>
      </c>
    </row>
    <row r="261" ht="14.25" customHeight="1" spans="1:5">
      <c r="A261" s="26">
        <v>43967</v>
      </c>
      <c r="B261" s="27" t="s">
        <v>18</v>
      </c>
      <c r="C261" s="27">
        <v>15</v>
      </c>
      <c r="D261" s="27">
        <v>1111</v>
      </c>
      <c r="E261" s="27">
        <v>992</v>
      </c>
    </row>
    <row r="262" ht="14.25" customHeight="1" spans="1:5">
      <c r="A262" s="26">
        <v>43967</v>
      </c>
      <c r="B262" s="27" t="s">
        <v>19</v>
      </c>
      <c r="C262" s="27">
        <v>15</v>
      </c>
      <c r="D262" s="27">
        <v>747</v>
      </c>
      <c r="E262" s="27">
        <v>647</v>
      </c>
    </row>
    <row r="263" ht="14.25" customHeight="1" spans="1:5">
      <c r="A263" s="26">
        <v>43967</v>
      </c>
      <c r="B263" s="27" t="s">
        <v>15</v>
      </c>
      <c r="C263" s="27">
        <v>125</v>
      </c>
      <c r="D263" s="27">
        <v>22291</v>
      </c>
      <c r="E263" s="27">
        <v>20635</v>
      </c>
    </row>
    <row r="264" ht="14.25" customHeight="1" spans="1:5">
      <c r="A264" s="26">
        <v>43967</v>
      </c>
      <c r="B264" s="27" t="s">
        <v>14</v>
      </c>
      <c r="C264" s="27">
        <v>129</v>
      </c>
      <c r="D264" s="27">
        <v>17914</v>
      </c>
      <c r="E264" s="27">
        <v>16631</v>
      </c>
    </row>
    <row r="265" ht="14.25" customHeight="1" spans="1:5">
      <c r="A265" s="26">
        <v>43967</v>
      </c>
      <c r="B265" s="27" t="s">
        <v>12</v>
      </c>
      <c r="C265" s="27">
        <v>10</v>
      </c>
      <c r="D265" s="27">
        <v>760</v>
      </c>
      <c r="E265" s="27">
        <v>672</v>
      </c>
    </row>
    <row r="266" ht="14.25" customHeight="1" spans="1:5">
      <c r="A266" s="26">
        <v>43968</v>
      </c>
      <c r="B266" s="27" t="s">
        <v>16</v>
      </c>
      <c r="C266" s="27">
        <v>36</v>
      </c>
      <c r="D266" s="27">
        <v>4918</v>
      </c>
      <c r="E266" s="27">
        <v>4554</v>
      </c>
    </row>
    <row r="267" ht="14.25" customHeight="1" spans="1:5">
      <c r="A267" s="26">
        <v>43968</v>
      </c>
      <c r="B267" s="27" t="s">
        <v>11</v>
      </c>
      <c r="C267" s="27">
        <v>31</v>
      </c>
      <c r="D267" s="27">
        <v>5206</v>
      </c>
      <c r="E267" s="27">
        <v>4843</v>
      </c>
    </row>
    <row r="268" ht="14.25" customHeight="1" spans="1:5">
      <c r="A268" s="26">
        <v>43968</v>
      </c>
      <c r="B268" s="27" t="s">
        <v>17</v>
      </c>
      <c r="C268" s="27">
        <v>21</v>
      </c>
      <c r="D268" s="27">
        <v>2054</v>
      </c>
      <c r="E268" s="27">
        <v>1883</v>
      </c>
    </row>
    <row r="269" ht="14.25" customHeight="1" spans="1:5">
      <c r="A269" s="26">
        <v>43968</v>
      </c>
      <c r="B269" s="27" t="s">
        <v>10</v>
      </c>
      <c r="C269" s="27">
        <v>21</v>
      </c>
      <c r="D269" s="27">
        <v>1874</v>
      </c>
      <c r="E269" s="27">
        <v>1705</v>
      </c>
    </row>
    <row r="270" ht="14.25" customHeight="1" spans="1:5">
      <c r="A270" s="26">
        <v>43968</v>
      </c>
      <c r="B270" s="27" t="s">
        <v>20</v>
      </c>
      <c r="C270" s="27">
        <v>19</v>
      </c>
      <c r="D270" s="27">
        <v>1790</v>
      </c>
      <c r="E270" s="27">
        <v>1633</v>
      </c>
    </row>
    <row r="271" ht="14.25" customHeight="1" spans="1:5">
      <c r="A271" s="26">
        <v>43968</v>
      </c>
      <c r="B271" s="27" t="s">
        <v>22</v>
      </c>
      <c r="C271" s="27">
        <v>54</v>
      </c>
      <c r="D271" s="27">
        <v>11128</v>
      </c>
      <c r="E271" s="27">
        <v>10467</v>
      </c>
    </row>
    <row r="272" ht="14.25" customHeight="1" spans="1:5">
      <c r="A272" s="26">
        <v>43968</v>
      </c>
      <c r="B272" s="27" t="s">
        <v>21</v>
      </c>
      <c r="C272" s="27">
        <v>60</v>
      </c>
      <c r="D272" s="27">
        <v>11698</v>
      </c>
      <c r="E272" s="27">
        <v>10989</v>
      </c>
    </row>
    <row r="273" ht="14.25" customHeight="1" spans="1:5">
      <c r="A273" s="26">
        <v>43968</v>
      </c>
      <c r="B273" s="27" t="s">
        <v>13</v>
      </c>
      <c r="C273" s="27">
        <v>19</v>
      </c>
      <c r="D273" s="27">
        <v>1871</v>
      </c>
      <c r="E273" s="27">
        <v>1660</v>
      </c>
    </row>
    <row r="274" ht="14.25" customHeight="1" spans="1:5">
      <c r="A274" s="26">
        <v>43968</v>
      </c>
      <c r="B274" s="27" t="s">
        <v>23</v>
      </c>
      <c r="C274" s="27">
        <v>16</v>
      </c>
      <c r="D274" s="27">
        <v>859</v>
      </c>
      <c r="E274" s="27">
        <v>746</v>
      </c>
    </row>
    <row r="275" ht="14.25" customHeight="1" spans="1:5">
      <c r="A275" s="26">
        <v>43968</v>
      </c>
      <c r="B275" s="27" t="s">
        <v>18</v>
      </c>
      <c r="C275" s="27">
        <v>15</v>
      </c>
      <c r="D275" s="27">
        <v>971</v>
      </c>
      <c r="E275" s="27">
        <v>856</v>
      </c>
    </row>
    <row r="276" ht="14.25" customHeight="1" spans="1:5">
      <c r="A276" s="26">
        <v>43968</v>
      </c>
      <c r="B276" s="27" t="s">
        <v>19</v>
      </c>
      <c r="C276" s="27">
        <v>15</v>
      </c>
      <c r="D276" s="27">
        <v>692</v>
      </c>
      <c r="E276" s="27">
        <v>591</v>
      </c>
    </row>
    <row r="277" ht="14.25" customHeight="1" spans="1:5">
      <c r="A277" s="26">
        <v>43968</v>
      </c>
      <c r="B277" s="27" t="s">
        <v>15</v>
      </c>
      <c r="C277" s="27">
        <v>125</v>
      </c>
      <c r="D277" s="27">
        <v>20079</v>
      </c>
      <c r="E277" s="27">
        <v>18721</v>
      </c>
    </row>
    <row r="278" ht="14.25" customHeight="1" spans="1:5">
      <c r="A278" s="26">
        <v>43968</v>
      </c>
      <c r="B278" s="27" t="s">
        <v>14</v>
      </c>
      <c r="C278" s="27">
        <v>129</v>
      </c>
      <c r="D278" s="27">
        <v>15744</v>
      </c>
      <c r="E278" s="27">
        <v>14685</v>
      </c>
    </row>
    <row r="279" ht="14.25" customHeight="1" spans="1:5">
      <c r="A279" s="26">
        <v>43968</v>
      </c>
      <c r="B279" s="27" t="s">
        <v>12</v>
      </c>
      <c r="C279" s="27">
        <v>10</v>
      </c>
      <c r="D279" s="27">
        <v>591</v>
      </c>
      <c r="E279" s="27">
        <v>513</v>
      </c>
    </row>
    <row r="280" ht="14.25" customHeight="1" spans="1:5">
      <c r="A280" s="26">
        <v>43969</v>
      </c>
      <c r="B280" s="27" t="s">
        <v>16</v>
      </c>
      <c r="C280" s="27">
        <v>36</v>
      </c>
      <c r="D280" s="27">
        <v>4885</v>
      </c>
      <c r="E280" s="27">
        <v>4502</v>
      </c>
    </row>
    <row r="281" ht="14.25" customHeight="1" spans="1:5">
      <c r="A281" s="26">
        <v>43969</v>
      </c>
      <c r="B281" s="27" t="s">
        <v>11</v>
      </c>
      <c r="C281" s="27">
        <v>31</v>
      </c>
      <c r="D281" s="27">
        <v>5165</v>
      </c>
      <c r="E281" s="27">
        <v>4813</v>
      </c>
    </row>
    <row r="282" ht="14.25" customHeight="1" spans="1:5">
      <c r="A282" s="26">
        <v>43969</v>
      </c>
      <c r="B282" s="27" t="s">
        <v>17</v>
      </c>
      <c r="C282" s="27">
        <v>21</v>
      </c>
      <c r="D282" s="27">
        <v>2136</v>
      </c>
      <c r="E282" s="27">
        <v>1947</v>
      </c>
    </row>
    <row r="283" ht="14.25" customHeight="1" spans="1:5">
      <c r="A283" s="26">
        <v>43969</v>
      </c>
      <c r="B283" s="27" t="s">
        <v>10</v>
      </c>
      <c r="C283" s="27">
        <v>21</v>
      </c>
      <c r="D283" s="27">
        <v>1834</v>
      </c>
      <c r="E283" s="27">
        <v>1660</v>
      </c>
    </row>
    <row r="284" ht="14.25" customHeight="1" spans="1:5">
      <c r="A284" s="26">
        <v>43969</v>
      </c>
      <c r="B284" s="27" t="s">
        <v>20</v>
      </c>
      <c r="C284" s="27">
        <v>19</v>
      </c>
      <c r="D284" s="27">
        <v>1741</v>
      </c>
      <c r="E284" s="27">
        <v>1597</v>
      </c>
    </row>
    <row r="285" ht="14.25" customHeight="1" spans="1:5">
      <c r="A285" s="26">
        <v>43969</v>
      </c>
      <c r="B285" s="27" t="s">
        <v>22</v>
      </c>
      <c r="C285" s="27">
        <v>54</v>
      </c>
      <c r="D285" s="27">
        <v>12012</v>
      </c>
      <c r="E285" s="27">
        <v>11308</v>
      </c>
    </row>
    <row r="286" ht="14.25" customHeight="1" spans="1:5">
      <c r="A286" s="26">
        <v>43969</v>
      </c>
      <c r="B286" s="27" t="s">
        <v>21</v>
      </c>
      <c r="C286" s="27">
        <v>60</v>
      </c>
      <c r="D286" s="27">
        <v>12460</v>
      </c>
      <c r="E286" s="27">
        <v>11665</v>
      </c>
    </row>
    <row r="287" ht="14.25" customHeight="1" spans="1:5">
      <c r="A287" s="26">
        <v>43969</v>
      </c>
      <c r="B287" s="27" t="s">
        <v>13</v>
      </c>
      <c r="C287" s="27">
        <v>19</v>
      </c>
      <c r="D287" s="27">
        <v>1858</v>
      </c>
      <c r="E287" s="27">
        <v>1648</v>
      </c>
    </row>
    <row r="288" ht="14.25" customHeight="1" spans="1:5">
      <c r="A288" s="26">
        <v>43969</v>
      </c>
      <c r="B288" s="27" t="s">
        <v>23</v>
      </c>
      <c r="C288" s="27">
        <v>16</v>
      </c>
      <c r="D288" s="27">
        <v>864</v>
      </c>
      <c r="E288" s="27">
        <v>765</v>
      </c>
    </row>
    <row r="289" ht="14.25" customHeight="1" spans="1:5">
      <c r="A289" s="26">
        <v>43969</v>
      </c>
      <c r="B289" s="27" t="s">
        <v>18</v>
      </c>
      <c r="C289" s="27">
        <v>16</v>
      </c>
      <c r="D289" s="27">
        <v>925</v>
      </c>
      <c r="E289" s="27">
        <v>816</v>
      </c>
    </row>
    <row r="290" ht="14.25" customHeight="1" spans="1:5">
      <c r="A290" s="26">
        <v>43969</v>
      </c>
      <c r="B290" s="27" t="s">
        <v>19</v>
      </c>
      <c r="C290" s="27">
        <v>15</v>
      </c>
      <c r="D290" s="27">
        <v>729</v>
      </c>
      <c r="E290" s="27">
        <v>636</v>
      </c>
    </row>
    <row r="291" ht="14.25" customHeight="1" spans="1:5">
      <c r="A291" s="26">
        <v>43969</v>
      </c>
      <c r="B291" s="27" t="s">
        <v>15</v>
      </c>
      <c r="C291" s="27">
        <v>125</v>
      </c>
      <c r="D291" s="27">
        <v>20449</v>
      </c>
      <c r="E291" s="27">
        <v>19060</v>
      </c>
    </row>
    <row r="292" ht="14.25" customHeight="1" spans="1:5">
      <c r="A292" s="26">
        <v>43969</v>
      </c>
      <c r="B292" s="27" t="s">
        <v>14</v>
      </c>
      <c r="C292" s="27">
        <v>129</v>
      </c>
      <c r="D292" s="27">
        <v>16110</v>
      </c>
      <c r="E292" s="27">
        <v>14992</v>
      </c>
    </row>
    <row r="293" ht="14.25" customHeight="1" spans="1:5">
      <c r="A293" s="26">
        <v>43969</v>
      </c>
      <c r="B293" s="27" t="s">
        <v>12</v>
      </c>
      <c r="C293" s="27">
        <v>10</v>
      </c>
      <c r="D293" s="27">
        <v>645</v>
      </c>
      <c r="E293" s="27">
        <v>565</v>
      </c>
    </row>
    <row r="294" ht="14.25" customHeight="1" spans="1:5">
      <c r="A294" s="26">
        <v>43970</v>
      </c>
      <c r="B294" s="27" t="s">
        <v>16</v>
      </c>
      <c r="C294" s="27">
        <v>36</v>
      </c>
      <c r="D294" s="27">
        <v>5094</v>
      </c>
      <c r="E294" s="27">
        <v>4716</v>
      </c>
    </row>
    <row r="295" ht="14.25" customHeight="1" spans="1:5">
      <c r="A295" s="26">
        <v>43970</v>
      </c>
      <c r="B295" s="27" t="s">
        <v>11</v>
      </c>
      <c r="C295" s="27">
        <v>31</v>
      </c>
      <c r="D295" s="27">
        <v>5389</v>
      </c>
      <c r="E295" s="27">
        <v>5024</v>
      </c>
    </row>
    <row r="296" ht="14.25" customHeight="1" spans="1:5">
      <c r="A296" s="26">
        <v>43970</v>
      </c>
      <c r="B296" s="27" t="s">
        <v>17</v>
      </c>
      <c r="C296" s="27">
        <v>21</v>
      </c>
      <c r="D296" s="27">
        <v>2245</v>
      </c>
      <c r="E296" s="27">
        <v>2053</v>
      </c>
    </row>
    <row r="297" ht="14.25" customHeight="1" spans="1:5">
      <c r="A297" s="26">
        <v>43970</v>
      </c>
      <c r="B297" s="27" t="s">
        <v>10</v>
      </c>
      <c r="C297" s="27">
        <v>21</v>
      </c>
      <c r="D297" s="27">
        <v>1860</v>
      </c>
      <c r="E297" s="27">
        <v>1704</v>
      </c>
    </row>
    <row r="298" ht="14.25" customHeight="1" spans="1:5">
      <c r="A298" s="26">
        <v>43970</v>
      </c>
      <c r="B298" s="27" t="s">
        <v>20</v>
      </c>
      <c r="C298" s="27">
        <v>19</v>
      </c>
      <c r="D298" s="27">
        <v>1831</v>
      </c>
      <c r="E298" s="27">
        <v>1667</v>
      </c>
    </row>
    <row r="299" ht="14.25" customHeight="1" spans="1:5">
      <c r="A299" s="26">
        <v>43970</v>
      </c>
      <c r="B299" s="27" t="s">
        <v>22</v>
      </c>
      <c r="C299" s="27">
        <v>54</v>
      </c>
      <c r="D299" s="27">
        <v>13070</v>
      </c>
      <c r="E299" s="27">
        <v>12244</v>
      </c>
    </row>
    <row r="300" ht="14.25" customHeight="1" spans="1:5">
      <c r="A300" s="26">
        <v>43970</v>
      </c>
      <c r="B300" s="27" t="s">
        <v>21</v>
      </c>
      <c r="C300" s="27">
        <v>60</v>
      </c>
      <c r="D300" s="27">
        <v>13867</v>
      </c>
      <c r="E300" s="27">
        <v>12987</v>
      </c>
    </row>
    <row r="301" ht="14.25" customHeight="1" spans="1:5">
      <c r="A301" s="26">
        <v>43970</v>
      </c>
      <c r="B301" s="27" t="s">
        <v>13</v>
      </c>
      <c r="C301" s="27">
        <v>19</v>
      </c>
      <c r="D301" s="27">
        <v>1999</v>
      </c>
      <c r="E301" s="27">
        <v>1799</v>
      </c>
    </row>
    <row r="302" ht="14.25" customHeight="1" spans="1:5">
      <c r="A302" s="26">
        <v>43970</v>
      </c>
      <c r="B302" s="27" t="s">
        <v>23</v>
      </c>
      <c r="C302" s="27">
        <v>17</v>
      </c>
      <c r="D302" s="27">
        <v>857</v>
      </c>
      <c r="E302" s="27">
        <v>757</v>
      </c>
    </row>
    <row r="303" ht="14.25" customHeight="1" spans="1:5">
      <c r="A303" s="26">
        <v>43970</v>
      </c>
      <c r="B303" s="27" t="s">
        <v>18</v>
      </c>
      <c r="C303" s="27">
        <v>16</v>
      </c>
      <c r="D303" s="27">
        <v>1012</v>
      </c>
      <c r="E303" s="27">
        <v>900</v>
      </c>
    </row>
    <row r="304" ht="14.25" customHeight="1" spans="1:5">
      <c r="A304" s="26">
        <v>43970</v>
      </c>
      <c r="B304" s="27" t="s">
        <v>19</v>
      </c>
      <c r="C304" s="27">
        <v>15</v>
      </c>
      <c r="D304" s="27">
        <v>930</v>
      </c>
      <c r="E304" s="27">
        <v>827</v>
      </c>
    </row>
    <row r="305" ht="14.25" customHeight="1" spans="1:5">
      <c r="A305" s="26">
        <v>43970</v>
      </c>
      <c r="B305" s="27" t="s">
        <v>15</v>
      </c>
      <c r="C305" s="27">
        <v>125</v>
      </c>
      <c r="D305" s="27">
        <v>20771</v>
      </c>
      <c r="E305" s="27">
        <v>19338</v>
      </c>
    </row>
    <row r="306" ht="14.25" customHeight="1" spans="1:5">
      <c r="A306" s="26">
        <v>43970</v>
      </c>
      <c r="B306" s="27" t="s">
        <v>14</v>
      </c>
      <c r="C306" s="27">
        <v>129</v>
      </c>
      <c r="D306" s="27">
        <v>16191</v>
      </c>
      <c r="E306" s="27">
        <v>15102</v>
      </c>
    </row>
    <row r="307" ht="14.25" customHeight="1" spans="1:5">
      <c r="A307" s="26">
        <v>43970</v>
      </c>
      <c r="B307" s="27" t="s">
        <v>12</v>
      </c>
      <c r="C307" s="27">
        <v>10</v>
      </c>
      <c r="D307" s="27">
        <v>649</v>
      </c>
      <c r="E307" s="27">
        <v>568</v>
      </c>
    </row>
    <row r="308" ht="14.25" customHeight="1" spans="1:5">
      <c r="A308" s="26">
        <v>43971</v>
      </c>
      <c r="B308" s="27" t="s">
        <v>16</v>
      </c>
      <c r="C308" s="27">
        <v>36</v>
      </c>
      <c r="D308" s="27">
        <v>5914</v>
      </c>
      <c r="E308" s="27">
        <v>5384</v>
      </c>
    </row>
    <row r="309" ht="14.25" customHeight="1" spans="1:5">
      <c r="A309" s="26">
        <v>43971</v>
      </c>
      <c r="B309" s="27" t="s">
        <v>11</v>
      </c>
      <c r="C309" s="27">
        <v>31</v>
      </c>
      <c r="D309" s="27">
        <v>5698</v>
      </c>
      <c r="E309" s="27">
        <v>5258</v>
      </c>
    </row>
    <row r="310" ht="14.25" customHeight="1" spans="1:5">
      <c r="A310" s="26">
        <v>43971</v>
      </c>
      <c r="B310" s="27" t="s">
        <v>17</v>
      </c>
      <c r="C310" s="27">
        <v>21</v>
      </c>
      <c r="D310" s="27">
        <v>2410</v>
      </c>
      <c r="E310" s="27">
        <v>2202</v>
      </c>
    </row>
    <row r="311" ht="14.25" customHeight="1" spans="1:5">
      <c r="A311" s="26">
        <v>43971</v>
      </c>
      <c r="B311" s="27" t="s">
        <v>10</v>
      </c>
      <c r="C311" s="27">
        <v>21</v>
      </c>
      <c r="D311" s="27">
        <v>1921</v>
      </c>
      <c r="E311" s="27">
        <v>1767</v>
      </c>
    </row>
    <row r="312" ht="14.25" customHeight="1" spans="1:5">
      <c r="A312" s="26">
        <v>43971</v>
      </c>
      <c r="B312" s="27" t="s">
        <v>20</v>
      </c>
      <c r="C312" s="27">
        <v>19</v>
      </c>
      <c r="D312" s="27">
        <v>1823</v>
      </c>
      <c r="E312" s="27">
        <v>1678</v>
      </c>
    </row>
    <row r="313" ht="14.25" customHeight="1" spans="1:5">
      <c r="A313" s="26">
        <v>43971</v>
      </c>
      <c r="B313" s="27" t="s">
        <v>22</v>
      </c>
      <c r="C313" s="27">
        <v>54</v>
      </c>
      <c r="D313" s="27">
        <v>13298</v>
      </c>
      <c r="E313" s="27">
        <v>12428</v>
      </c>
    </row>
    <row r="314" ht="14.25" customHeight="1" spans="1:5">
      <c r="A314" s="26">
        <v>43971</v>
      </c>
      <c r="B314" s="27" t="s">
        <v>21</v>
      </c>
      <c r="C314" s="27">
        <v>60</v>
      </c>
      <c r="D314" s="27">
        <v>13792</v>
      </c>
      <c r="E314" s="27">
        <v>12834</v>
      </c>
    </row>
    <row r="315" ht="14.25" customHeight="1" spans="1:5">
      <c r="A315" s="26">
        <v>43971</v>
      </c>
      <c r="B315" s="27" t="s">
        <v>13</v>
      </c>
      <c r="C315" s="27">
        <v>19</v>
      </c>
      <c r="D315" s="27">
        <v>1889</v>
      </c>
      <c r="E315" s="27">
        <v>1690</v>
      </c>
    </row>
    <row r="316" ht="14.25" customHeight="1" spans="1:5">
      <c r="A316" s="26">
        <v>43971</v>
      </c>
      <c r="B316" s="27" t="s">
        <v>23</v>
      </c>
      <c r="C316" s="27">
        <v>17</v>
      </c>
      <c r="D316" s="27">
        <v>890</v>
      </c>
      <c r="E316" s="27">
        <v>794</v>
      </c>
    </row>
    <row r="317" ht="14.25" customHeight="1" spans="1:5">
      <c r="A317" s="26">
        <v>43971</v>
      </c>
      <c r="B317" s="27" t="s">
        <v>18</v>
      </c>
      <c r="C317" s="27">
        <v>16</v>
      </c>
      <c r="D317" s="27">
        <v>1050</v>
      </c>
      <c r="E317" s="27">
        <v>938</v>
      </c>
    </row>
    <row r="318" ht="14.25" customHeight="1" spans="1:5">
      <c r="A318" s="26">
        <v>43971</v>
      </c>
      <c r="B318" s="27" t="s">
        <v>19</v>
      </c>
      <c r="C318" s="27">
        <v>15</v>
      </c>
      <c r="D318" s="27">
        <v>760</v>
      </c>
      <c r="E318" s="27">
        <v>664</v>
      </c>
    </row>
    <row r="319" ht="14.25" customHeight="1" spans="1:5">
      <c r="A319" s="26">
        <v>43971</v>
      </c>
      <c r="B319" s="27" t="s">
        <v>15</v>
      </c>
      <c r="C319" s="27">
        <v>125</v>
      </c>
      <c r="D319" s="27">
        <v>21674</v>
      </c>
      <c r="E319" s="27">
        <v>20155</v>
      </c>
    </row>
    <row r="320" ht="14.25" customHeight="1" spans="1:5">
      <c r="A320" s="26">
        <v>43971</v>
      </c>
      <c r="B320" s="27" t="s">
        <v>14</v>
      </c>
      <c r="C320" s="27">
        <v>129</v>
      </c>
      <c r="D320" s="27">
        <v>17095</v>
      </c>
      <c r="E320" s="27">
        <v>15919</v>
      </c>
    </row>
    <row r="321" ht="14.25" customHeight="1" spans="1:5">
      <c r="A321" s="26">
        <v>43971</v>
      </c>
      <c r="B321" s="27" t="s">
        <v>12</v>
      </c>
      <c r="C321" s="27">
        <v>10</v>
      </c>
      <c r="D321" s="27">
        <v>745</v>
      </c>
      <c r="E321" s="27">
        <v>654</v>
      </c>
    </row>
    <row r="322" ht="14.25" customHeight="1" spans="1:5">
      <c r="A322" s="26">
        <v>43972</v>
      </c>
      <c r="B322" s="27" t="s">
        <v>16</v>
      </c>
      <c r="C322" s="27">
        <v>36</v>
      </c>
      <c r="D322" s="27">
        <v>4816</v>
      </c>
      <c r="E322" s="27">
        <v>4452</v>
      </c>
    </row>
    <row r="323" ht="14.25" customHeight="1" spans="1:5">
      <c r="A323" s="26">
        <v>43972</v>
      </c>
      <c r="B323" s="27" t="s">
        <v>11</v>
      </c>
      <c r="C323" s="27">
        <v>31</v>
      </c>
      <c r="D323" s="27">
        <v>5207</v>
      </c>
      <c r="E323" s="27">
        <v>4868</v>
      </c>
    </row>
    <row r="324" ht="14.25" customHeight="1" spans="1:5">
      <c r="A324" s="26">
        <v>43972</v>
      </c>
      <c r="B324" s="27" t="s">
        <v>17</v>
      </c>
      <c r="C324" s="27">
        <v>21</v>
      </c>
      <c r="D324" s="27">
        <v>2335</v>
      </c>
      <c r="E324" s="27">
        <v>2126</v>
      </c>
    </row>
    <row r="325" ht="14.25" customHeight="1" spans="1:5">
      <c r="A325" s="26">
        <v>43972</v>
      </c>
      <c r="B325" s="27" t="s">
        <v>10</v>
      </c>
      <c r="C325" s="27">
        <v>21</v>
      </c>
      <c r="D325" s="27">
        <v>1787</v>
      </c>
      <c r="E325" s="27">
        <v>1626</v>
      </c>
    </row>
    <row r="326" ht="14.25" customHeight="1" spans="1:5">
      <c r="A326" s="26">
        <v>43972</v>
      </c>
      <c r="B326" s="27" t="s">
        <v>20</v>
      </c>
      <c r="C326" s="27">
        <v>19</v>
      </c>
      <c r="D326" s="27">
        <v>1650</v>
      </c>
      <c r="E326" s="27">
        <v>1505</v>
      </c>
    </row>
    <row r="327" ht="14.25" customHeight="1" spans="1:5">
      <c r="A327" s="26">
        <v>43972</v>
      </c>
      <c r="B327" s="27" t="s">
        <v>22</v>
      </c>
      <c r="C327" s="27">
        <v>54</v>
      </c>
      <c r="D327" s="27">
        <v>13240</v>
      </c>
      <c r="E327" s="27">
        <v>12360</v>
      </c>
    </row>
    <row r="328" ht="14.25" customHeight="1" spans="1:5">
      <c r="A328" s="26">
        <v>43972</v>
      </c>
      <c r="B328" s="27" t="s">
        <v>21</v>
      </c>
      <c r="C328" s="27">
        <v>60</v>
      </c>
      <c r="D328" s="27">
        <v>14005</v>
      </c>
      <c r="E328" s="27">
        <v>13002</v>
      </c>
    </row>
    <row r="329" ht="14.25" customHeight="1" spans="1:5">
      <c r="A329" s="26">
        <v>43972</v>
      </c>
      <c r="B329" s="27" t="s">
        <v>13</v>
      </c>
      <c r="C329" s="27">
        <v>19</v>
      </c>
      <c r="D329" s="27">
        <v>1949</v>
      </c>
      <c r="E329" s="27">
        <v>1724</v>
      </c>
    </row>
    <row r="330" ht="14.25" customHeight="1" spans="1:5">
      <c r="A330" s="26">
        <v>43972</v>
      </c>
      <c r="B330" s="27" t="s">
        <v>23</v>
      </c>
      <c r="C330" s="27">
        <v>18</v>
      </c>
      <c r="D330" s="27">
        <v>888</v>
      </c>
      <c r="E330" s="27">
        <v>786</v>
      </c>
    </row>
    <row r="331" ht="14.25" customHeight="1" spans="1:5">
      <c r="A331" s="26">
        <v>43972</v>
      </c>
      <c r="B331" s="27" t="s">
        <v>18</v>
      </c>
      <c r="C331" s="27">
        <v>17</v>
      </c>
      <c r="D331" s="27">
        <v>1045</v>
      </c>
      <c r="E331" s="27">
        <v>930</v>
      </c>
    </row>
    <row r="332" ht="14.25" customHeight="1" spans="1:5">
      <c r="A332" s="26">
        <v>43972</v>
      </c>
      <c r="B332" s="27" t="s">
        <v>19</v>
      </c>
      <c r="C332" s="27">
        <v>15</v>
      </c>
      <c r="D332" s="27">
        <v>749</v>
      </c>
      <c r="E332" s="27">
        <v>652</v>
      </c>
    </row>
    <row r="333" ht="14.25" customHeight="1" spans="1:5">
      <c r="A333" s="26">
        <v>43972</v>
      </c>
      <c r="B333" s="27" t="s">
        <v>15</v>
      </c>
      <c r="C333" s="27">
        <v>125</v>
      </c>
      <c r="D333" s="27">
        <v>20911</v>
      </c>
      <c r="E333" s="27">
        <v>19358</v>
      </c>
    </row>
    <row r="334" ht="14.25" customHeight="1" spans="1:5">
      <c r="A334" s="26">
        <v>43972</v>
      </c>
      <c r="B334" s="27" t="s">
        <v>14</v>
      </c>
      <c r="C334" s="27">
        <v>129</v>
      </c>
      <c r="D334" s="27">
        <v>16373</v>
      </c>
      <c r="E334" s="27">
        <v>15223</v>
      </c>
    </row>
    <row r="335" ht="14.25" customHeight="1" spans="1:5">
      <c r="A335" s="26">
        <v>43972</v>
      </c>
      <c r="B335" s="27" t="s">
        <v>12</v>
      </c>
      <c r="C335" s="27">
        <v>10</v>
      </c>
      <c r="D335" s="27">
        <v>677</v>
      </c>
      <c r="E335" s="27">
        <v>591</v>
      </c>
    </row>
    <row r="336" ht="14.25" customHeight="1" spans="1:5">
      <c r="A336" s="26">
        <v>43973</v>
      </c>
      <c r="B336" s="27" t="s">
        <v>16</v>
      </c>
      <c r="C336" s="27">
        <v>36</v>
      </c>
      <c r="D336" s="27">
        <v>4857</v>
      </c>
      <c r="E336" s="27">
        <v>4456</v>
      </c>
    </row>
    <row r="337" ht="14.25" customHeight="1" spans="1:5">
      <c r="A337" s="26">
        <v>43973</v>
      </c>
      <c r="B337" s="27" t="s">
        <v>11</v>
      </c>
      <c r="C337" s="27">
        <v>31</v>
      </c>
      <c r="D337" s="27">
        <v>5965</v>
      </c>
      <c r="E337" s="27">
        <v>5533</v>
      </c>
    </row>
    <row r="338" ht="14.25" customHeight="1" spans="1:5">
      <c r="A338" s="26">
        <v>43973</v>
      </c>
      <c r="B338" s="27" t="s">
        <v>17</v>
      </c>
      <c r="C338" s="27">
        <v>21</v>
      </c>
      <c r="D338" s="27">
        <v>2861</v>
      </c>
      <c r="E338" s="27">
        <v>2612</v>
      </c>
    </row>
    <row r="339" ht="14.25" customHeight="1" spans="1:5">
      <c r="A339" s="26">
        <v>43973</v>
      </c>
      <c r="B339" s="27" t="s">
        <v>10</v>
      </c>
      <c r="C339" s="27">
        <v>21</v>
      </c>
      <c r="D339" s="27">
        <v>2046</v>
      </c>
      <c r="E339" s="27">
        <v>1853</v>
      </c>
    </row>
    <row r="340" ht="14.25" customHeight="1" spans="1:5">
      <c r="A340" s="26">
        <v>43973</v>
      </c>
      <c r="B340" s="27" t="s">
        <v>20</v>
      </c>
      <c r="C340" s="27">
        <v>19</v>
      </c>
      <c r="D340" s="27">
        <v>1859</v>
      </c>
      <c r="E340" s="27">
        <v>1697</v>
      </c>
    </row>
    <row r="341" ht="14.25" customHeight="1" spans="1:5">
      <c r="A341" s="26">
        <v>43973</v>
      </c>
      <c r="B341" s="27" t="s">
        <v>22</v>
      </c>
      <c r="C341" s="27">
        <v>54</v>
      </c>
      <c r="D341" s="27">
        <v>13014</v>
      </c>
      <c r="E341" s="27">
        <v>12095</v>
      </c>
    </row>
    <row r="342" ht="14.25" customHeight="1" spans="1:5">
      <c r="A342" s="26">
        <v>43973</v>
      </c>
      <c r="B342" s="27" t="s">
        <v>21</v>
      </c>
      <c r="C342" s="27">
        <v>60</v>
      </c>
      <c r="D342" s="27">
        <v>14050</v>
      </c>
      <c r="E342" s="27">
        <v>13027</v>
      </c>
    </row>
    <row r="343" ht="14.25" customHeight="1" spans="1:5">
      <c r="A343" s="26">
        <v>43973</v>
      </c>
      <c r="B343" s="27" t="s">
        <v>13</v>
      </c>
      <c r="C343" s="27">
        <v>20</v>
      </c>
      <c r="D343" s="27">
        <v>2306</v>
      </c>
      <c r="E343" s="27">
        <v>2054</v>
      </c>
    </row>
    <row r="344" ht="14.25" customHeight="1" spans="1:5">
      <c r="A344" s="26">
        <v>43973</v>
      </c>
      <c r="B344" s="27" t="s">
        <v>23</v>
      </c>
      <c r="C344" s="27">
        <v>18</v>
      </c>
      <c r="D344" s="27">
        <v>985</v>
      </c>
      <c r="E344" s="27">
        <v>861</v>
      </c>
    </row>
    <row r="345" ht="14.25" customHeight="1" spans="1:5">
      <c r="A345" s="26">
        <v>43973</v>
      </c>
      <c r="B345" s="27" t="s">
        <v>18</v>
      </c>
      <c r="C345" s="27">
        <v>17</v>
      </c>
      <c r="D345" s="27">
        <v>1268</v>
      </c>
      <c r="E345" s="27">
        <v>1129</v>
      </c>
    </row>
    <row r="346" ht="14.25" customHeight="1" spans="1:5">
      <c r="A346" s="26">
        <v>43973</v>
      </c>
      <c r="B346" s="27" t="s">
        <v>19</v>
      </c>
      <c r="C346" s="27">
        <v>15</v>
      </c>
      <c r="D346" s="27">
        <v>903</v>
      </c>
      <c r="E346" s="27">
        <v>792</v>
      </c>
    </row>
    <row r="347" ht="14.25" customHeight="1" spans="1:5">
      <c r="A347" s="26">
        <v>43973</v>
      </c>
      <c r="B347" s="27" t="s">
        <v>15</v>
      </c>
      <c r="C347" s="27">
        <v>125</v>
      </c>
      <c r="D347" s="27">
        <v>21427</v>
      </c>
      <c r="E347" s="27">
        <v>19799</v>
      </c>
    </row>
    <row r="348" ht="14.25" customHeight="1" spans="1:5">
      <c r="A348" s="26">
        <v>43973</v>
      </c>
      <c r="B348" s="27" t="s">
        <v>14</v>
      </c>
      <c r="C348" s="27">
        <v>129</v>
      </c>
      <c r="D348" s="27">
        <v>17088</v>
      </c>
      <c r="E348" s="27">
        <v>15804</v>
      </c>
    </row>
    <row r="349" ht="14.25" customHeight="1" spans="1:5">
      <c r="A349" s="26">
        <v>43973</v>
      </c>
      <c r="B349" s="27" t="s">
        <v>12</v>
      </c>
      <c r="C349" s="27">
        <v>10</v>
      </c>
      <c r="D349" s="27">
        <v>965</v>
      </c>
      <c r="E349" s="27">
        <v>861</v>
      </c>
    </row>
    <row r="350" ht="14.25" customHeight="1" spans="1:5">
      <c r="A350" s="26">
        <v>43974</v>
      </c>
      <c r="B350" s="27" t="s">
        <v>16</v>
      </c>
      <c r="C350" s="27">
        <v>36</v>
      </c>
      <c r="D350" s="27">
        <v>5651</v>
      </c>
      <c r="E350" s="27">
        <v>5212</v>
      </c>
    </row>
    <row r="351" ht="14.25" customHeight="1" spans="1:5">
      <c r="A351" s="26">
        <v>43974</v>
      </c>
      <c r="B351" s="27" t="s">
        <v>11</v>
      </c>
      <c r="C351" s="27">
        <v>31</v>
      </c>
      <c r="D351" s="27">
        <v>6276</v>
      </c>
      <c r="E351" s="27">
        <v>5801</v>
      </c>
    </row>
    <row r="352" ht="14.25" customHeight="1" spans="1:5">
      <c r="A352" s="26">
        <v>43974</v>
      </c>
      <c r="B352" s="27" t="s">
        <v>17</v>
      </c>
      <c r="C352" s="27">
        <v>21</v>
      </c>
      <c r="D352" s="27">
        <v>2460</v>
      </c>
      <c r="E352" s="27">
        <v>2226</v>
      </c>
    </row>
    <row r="353" ht="14.25" customHeight="1" spans="1:5">
      <c r="A353" s="26">
        <v>43974</v>
      </c>
      <c r="B353" s="27" t="s">
        <v>10</v>
      </c>
      <c r="C353" s="27">
        <v>21</v>
      </c>
      <c r="D353" s="27">
        <v>2340</v>
      </c>
      <c r="E353" s="27">
        <v>2146</v>
      </c>
    </row>
    <row r="354" ht="14.25" customHeight="1" spans="1:5">
      <c r="A354" s="26">
        <v>43974</v>
      </c>
      <c r="B354" s="27" t="s">
        <v>20</v>
      </c>
      <c r="C354" s="27">
        <v>19</v>
      </c>
      <c r="D354" s="27">
        <v>2195</v>
      </c>
      <c r="E354" s="27">
        <v>1999</v>
      </c>
    </row>
    <row r="355" ht="14.25" customHeight="1" spans="1:5">
      <c r="A355" s="26">
        <v>43974</v>
      </c>
      <c r="B355" s="27" t="s">
        <v>22</v>
      </c>
      <c r="C355" s="27">
        <v>54</v>
      </c>
      <c r="D355" s="27">
        <v>16221</v>
      </c>
      <c r="E355" s="27">
        <v>15065</v>
      </c>
    </row>
    <row r="356" ht="14.25" customHeight="1" spans="1:5">
      <c r="A356" s="26">
        <v>43974</v>
      </c>
      <c r="B356" s="27" t="s">
        <v>21</v>
      </c>
      <c r="C356" s="27">
        <v>60</v>
      </c>
      <c r="D356" s="27">
        <v>17295</v>
      </c>
      <c r="E356" s="27">
        <v>16010</v>
      </c>
    </row>
    <row r="357" ht="14.25" customHeight="1" spans="1:5">
      <c r="A357" s="26">
        <v>43974</v>
      </c>
      <c r="B357" s="27" t="s">
        <v>13</v>
      </c>
      <c r="C357" s="27">
        <v>20</v>
      </c>
      <c r="D357" s="27">
        <v>2266</v>
      </c>
      <c r="E357" s="27">
        <v>1993</v>
      </c>
    </row>
    <row r="358" ht="14.25" customHeight="1" spans="1:5">
      <c r="A358" s="26">
        <v>43974</v>
      </c>
      <c r="B358" s="27" t="s">
        <v>23</v>
      </c>
      <c r="C358" s="27">
        <v>18</v>
      </c>
      <c r="D358" s="27">
        <v>1031</v>
      </c>
      <c r="E358" s="27">
        <v>918</v>
      </c>
    </row>
    <row r="359" ht="14.25" customHeight="1" spans="1:5">
      <c r="A359" s="26">
        <v>43974</v>
      </c>
      <c r="B359" s="27" t="s">
        <v>18</v>
      </c>
      <c r="C359" s="27">
        <v>17</v>
      </c>
      <c r="D359" s="27">
        <v>1294</v>
      </c>
      <c r="E359" s="27">
        <v>1155</v>
      </c>
    </row>
    <row r="360" ht="14.25" customHeight="1" spans="1:5">
      <c r="A360" s="26">
        <v>43974</v>
      </c>
      <c r="B360" s="27" t="s">
        <v>19</v>
      </c>
      <c r="C360" s="27">
        <v>15</v>
      </c>
      <c r="D360" s="27">
        <v>840</v>
      </c>
      <c r="E360" s="27">
        <v>725</v>
      </c>
    </row>
    <row r="361" ht="14.25" customHeight="1" spans="1:5">
      <c r="A361" s="26">
        <v>43974</v>
      </c>
      <c r="B361" s="27" t="s">
        <v>15</v>
      </c>
      <c r="C361" s="27">
        <v>125</v>
      </c>
      <c r="D361" s="27">
        <v>24574</v>
      </c>
      <c r="E361" s="27">
        <v>22609</v>
      </c>
    </row>
    <row r="362" ht="14.25" customHeight="1" spans="1:5">
      <c r="A362" s="26">
        <v>43974</v>
      </c>
      <c r="B362" s="27" t="s">
        <v>14</v>
      </c>
      <c r="C362" s="27">
        <v>129</v>
      </c>
      <c r="D362" s="27">
        <v>19856</v>
      </c>
      <c r="E362" s="27">
        <v>18325</v>
      </c>
    </row>
    <row r="363" ht="14.25" customHeight="1" spans="1:5">
      <c r="A363" s="26">
        <v>43974</v>
      </c>
      <c r="B363" s="27" t="s">
        <v>12</v>
      </c>
      <c r="C363" s="27">
        <v>10</v>
      </c>
      <c r="D363" s="27">
        <v>828</v>
      </c>
      <c r="E363" s="27">
        <v>734</v>
      </c>
    </row>
    <row r="364" ht="14.25" customHeight="1" spans="1:5">
      <c r="A364" s="26">
        <v>43975</v>
      </c>
      <c r="B364" s="27" t="s">
        <v>16</v>
      </c>
      <c r="C364" s="27">
        <v>36</v>
      </c>
      <c r="D364" s="27">
        <v>4915</v>
      </c>
      <c r="E364" s="27">
        <v>4562</v>
      </c>
    </row>
    <row r="365" ht="14.25" customHeight="1" spans="1:5">
      <c r="A365" s="26">
        <v>43975</v>
      </c>
      <c r="B365" s="27" t="s">
        <v>11</v>
      </c>
      <c r="C365" s="27">
        <v>31</v>
      </c>
      <c r="D365" s="27">
        <v>5035</v>
      </c>
      <c r="E365" s="27">
        <v>4683</v>
      </c>
    </row>
    <row r="366" ht="14.25" customHeight="1" spans="1:5">
      <c r="A366" s="26">
        <v>43975</v>
      </c>
      <c r="B366" s="27" t="s">
        <v>17</v>
      </c>
      <c r="C366" s="27">
        <v>21</v>
      </c>
      <c r="D366" s="27">
        <v>2254</v>
      </c>
      <c r="E366" s="27">
        <v>2061</v>
      </c>
    </row>
    <row r="367" ht="14.25" customHeight="1" spans="1:5">
      <c r="A367" s="26">
        <v>43975</v>
      </c>
      <c r="B367" s="27" t="s">
        <v>10</v>
      </c>
      <c r="C367" s="27">
        <v>20</v>
      </c>
      <c r="D367" s="27">
        <v>1999</v>
      </c>
      <c r="E367" s="27">
        <v>1829</v>
      </c>
    </row>
    <row r="368" ht="14.25" customHeight="1" spans="1:5">
      <c r="A368" s="26">
        <v>43975</v>
      </c>
      <c r="B368" s="27" t="s">
        <v>20</v>
      </c>
      <c r="C368" s="27">
        <v>19</v>
      </c>
      <c r="D368" s="27">
        <v>1868</v>
      </c>
      <c r="E368" s="27">
        <v>1706</v>
      </c>
    </row>
    <row r="369" ht="14.25" customHeight="1" spans="1:5">
      <c r="A369" s="26">
        <v>43975</v>
      </c>
      <c r="B369" s="27" t="s">
        <v>22</v>
      </c>
      <c r="C369" s="27">
        <v>54</v>
      </c>
      <c r="D369" s="27">
        <v>12211</v>
      </c>
      <c r="E369" s="27">
        <v>11427</v>
      </c>
    </row>
    <row r="370" ht="14.25" customHeight="1" spans="1:5">
      <c r="A370" s="26">
        <v>43975</v>
      </c>
      <c r="B370" s="27" t="s">
        <v>21</v>
      </c>
      <c r="C370" s="27">
        <v>60</v>
      </c>
      <c r="D370" s="27">
        <v>12822</v>
      </c>
      <c r="E370" s="27">
        <v>11916</v>
      </c>
    </row>
    <row r="371" ht="14.25" customHeight="1" spans="1:5">
      <c r="A371" s="26">
        <v>43975</v>
      </c>
      <c r="B371" s="27" t="s">
        <v>13</v>
      </c>
      <c r="C371" s="27">
        <v>20</v>
      </c>
      <c r="D371" s="27">
        <v>2015</v>
      </c>
      <c r="E371" s="27">
        <v>1803</v>
      </c>
    </row>
    <row r="372" ht="14.25" customHeight="1" spans="1:5">
      <c r="A372" s="26">
        <v>43975</v>
      </c>
      <c r="B372" s="27" t="s">
        <v>23</v>
      </c>
      <c r="C372" s="27">
        <v>18</v>
      </c>
      <c r="D372" s="27">
        <v>1006</v>
      </c>
      <c r="E372" s="27">
        <v>904</v>
      </c>
    </row>
    <row r="373" ht="14.25" customHeight="1" spans="1:5">
      <c r="A373" s="26">
        <v>43975</v>
      </c>
      <c r="B373" s="27" t="s">
        <v>18</v>
      </c>
      <c r="C373" s="27">
        <v>17</v>
      </c>
      <c r="D373" s="27">
        <v>1128</v>
      </c>
      <c r="E373" s="27">
        <v>1001</v>
      </c>
    </row>
    <row r="374" ht="14.25" customHeight="1" spans="1:5">
      <c r="A374" s="26">
        <v>43975</v>
      </c>
      <c r="B374" s="27" t="s">
        <v>19</v>
      </c>
      <c r="C374" s="27">
        <v>15</v>
      </c>
      <c r="D374" s="27">
        <v>779</v>
      </c>
      <c r="E374" s="27">
        <v>673</v>
      </c>
    </row>
    <row r="375" ht="14.25" customHeight="1" spans="1:5">
      <c r="A375" s="26">
        <v>43975</v>
      </c>
      <c r="B375" s="27" t="s">
        <v>15</v>
      </c>
      <c r="C375" s="27">
        <v>125</v>
      </c>
      <c r="D375" s="27">
        <v>21004</v>
      </c>
      <c r="E375" s="27">
        <v>19556</v>
      </c>
    </row>
    <row r="376" ht="14.25" customHeight="1" spans="1:5">
      <c r="A376" s="26">
        <v>43975</v>
      </c>
      <c r="B376" s="27" t="s">
        <v>14</v>
      </c>
      <c r="C376" s="27">
        <v>129</v>
      </c>
      <c r="D376" s="27">
        <v>16432</v>
      </c>
      <c r="E376" s="27">
        <v>15345</v>
      </c>
    </row>
    <row r="377" ht="14.25" customHeight="1" spans="1:5">
      <c r="A377" s="26">
        <v>43975</v>
      </c>
      <c r="B377" s="27" t="s">
        <v>12</v>
      </c>
      <c r="C377" s="27">
        <v>10</v>
      </c>
      <c r="D377" s="27">
        <v>639</v>
      </c>
      <c r="E377" s="27">
        <v>557</v>
      </c>
    </row>
    <row r="378" ht="14.25" customHeight="1" spans="1:5">
      <c r="A378" s="26">
        <v>43976</v>
      </c>
      <c r="B378" s="27" t="s">
        <v>16</v>
      </c>
      <c r="C378" s="27">
        <v>36</v>
      </c>
      <c r="D378" s="27">
        <v>4641</v>
      </c>
      <c r="E378" s="27">
        <v>4274</v>
      </c>
    </row>
    <row r="379" ht="14.25" customHeight="1" spans="1:5">
      <c r="A379" s="26">
        <v>43976</v>
      </c>
      <c r="B379" s="27" t="s">
        <v>11</v>
      </c>
      <c r="C379" s="27">
        <v>31</v>
      </c>
      <c r="D379" s="27">
        <v>5210</v>
      </c>
      <c r="E379" s="27">
        <v>4841</v>
      </c>
    </row>
    <row r="380" ht="14.25" customHeight="1" spans="1:5">
      <c r="A380" s="26">
        <v>43976</v>
      </c>
      <c r="B380" s="27" t="s">
        <v>17</v>
      </c>
      <c r="C380" s="27">
        <v>21</v>
      </c>
      <c r="D380" s="27">
        <v>2330</v>
      </c>
      <c r="E380" s="27">
        <v>2142</v>
      </c>
    </row>
    <row r="381" ht="14.25" customHeight="1" spans="1:5">
      <c r="A381" s="26">
        <v>43976</v>
      </c>
      <c r="B381" s="27" t="s">
        <v>10</v>
      </c>
      <c r="C381" s="27">
        <v>20</v>
      </c>
      <c r="D381" s="27">
        <v>2087</v>
      </c>
      <c r="E381" s="27">
        <v>1914</v>
      </c>
    </row>
    <row r="382" ht="14.25" customHeight="1" spans="1:5">
      <c r="A382" s="26">
        <v>43976</v>
      </c>
      <c r="B382" s="27" t="s">
        <v>20</v>
      </c>
      <c r="C382" s="27">
        <v>20</v>
      </c>
      <c r="D382" s="27">
        <v>1899</v>
      </c>
      <c r="E382" s="27">
        <v>1738</v>
      </c>
    </row>
    <row r="383" ht="14.25" customHeight="1" spans="1:5">
      <c r="A383" s="26">
        <v>43976</v>
      </c>
      <c r="B383" s="27" t="s">
        <v>22</v>
      </c>
      <c r="C383" s="27">
        <v>54</v>
      </c>
      <c r="D383" s="27">
        <v>12336</v>
      </c>
      <c r="E383" s="27">
        <v>11519</v>
      </c>
    </row>
    <row r="384" ht="14.25" customHeight="1" spans="1:5">
      <c r="A384" s="26">
        <v>43976</v>
      </c>
      <c r="B384" s="27" t="s">
        <v>21</v>
      </c>
      <c r="C384" s="27">
        <v>59</v>
      </c>
      <c r="D384" s="27">
        <v>12983</v>
      </c>
      <c r="E384" s="27">
        <v>12056</v>
      </c>
    </row>
    <row r="385" ht="14.25" customHeight="1" spans="1:5">
      <c r="A385" s="26">
        <v>43976</v>
      </c>
      <c r="B385" s="27" t="s">
        <v>13</v>
      </c>
      <c r="C385" s="27">
        <v>20</v>
      </c>
      <c r="D385" s="27">
        <v>2011</v>
      </c>
      <c r="E385" s="27">
        <v>1791</v>
      </c>
    </row>
    <row r="386" ht="14.25" customHeight="1" spans="1:5">
      <c r="A386" s="26">
        <v>43976</v>
      </c>
      <c r="B386" s="27" t="s">
        <v>23</v>
      </c>
      <c r="C386" s="27">
        <v>18</v>
      </c>
      <c r="D386" s="27">
        <v>989</v>
      </c>
      <c r="E386" s="27">
        <v>887</v>
      </c>
    </row>
    <row r="387" ht="14.25" customHeight="1" spans="1:5">
      <c r="A387" s="26">
        <v>43976</v>
      </c>
      <c r="B387" s="27" t="s">
        <v>18</v>
      </c>
      <c r="C387" s="27">
        <v>17</v>
      </c>
      <c r="D387" s="27">
        <v>1142</v>
      </c>
      <c r="E387" s="27">
        <v>1020</v>
      </c>
    </row>
    <row r="388" ht="14.25" customHeight="1" spans="1:5">
      <c r="A388" s="26">
        <v>43976</v>
      </c>
      <c r="B388" s="27" t="s">
        <v>19</v>
      </c>
      <c r="C388" s="27">
        <v>15</v>
      </c>
      <c r="D388" s="27">
        <v>835</v>
      </c>
      <c r="E388" s="27">
        <v>736</v>
      </c>
    </row>
    <row r="389" ht="14.25" customHeight="1" spans="1:5">
      <c r="A389" s="26">
        <v>43976</v>
      </c>
      <c r="B389" s="27" t="s">
        <v>15</v>
      </c>
      <c r="C389" s="27">
        <v>124</v>
      </c>
      <c r="D389" s="27">
        <v>20358</v>
      </c>
      <c r="E389" s="27">
        <v>18890</v>
      </c>
    </row>
    <row r="390" ht="14.25" customHeight="1" spans="1:5">
      <c r="A390" s="26">
        <v>43976</v>
      </c>
      <c r="B390" s="27" t="s">
        <v>14</v>
      </c>
      <c r="C390" s="27">
        <v>129</v>
      </c>
      <c r="D390" s="27">
        <v>15822</v>
      </c>
      <c r="E390" s="27">
        <v>14753</v>
      </c>
    </row>
    <row r="391" ht="14.25" customHeight="1" spans="1:5">
      <c r="A391" s="26">
        <v>43976</v>
      </c>
      <c r="B391" s="27" t="s">
        <v>12</v>
      </c>
      <c r="C391" s="27">
        <v>10</v>
      </c>
      <c r="D391" s="27">
        <v>739</v>
      </c>
      <c r="E391" s="27">
        <v>642</v>
      </c>
    </row>
    <row r="392" ht="14.25" customHeight="1" spans="1:5">
      <c r="A392" s="26">
        <v>43977</v>
      </c>
      <c r="B392" s="27" t="s">
        <v>16</v>
      </c>
      <c r="C392" s="27">
        <v>36</v>
      </c>
      <c r="D392" s="27">
        <v>4770</v>
      </c>
      <c r="E392" s="27">
        <v>4424</v>
      </c>
    </row>
    <row r="393" ht="14.25" customHeight="1" spans="1:5">
      <c r="A393" s="26">
        <v>43977</v>
      </c>
      <c r="B393" s="27" t="s">
        <v>11</v>
      </c>
      <c r="C393" s="27">
        <v>31</v>
      </c>
      <c r="D393" s="27">
        <v>5493</v>
      </c>
      <c r="E393" s="27">
        <v>5119</v>
      </c>
    </row>
    <row r="394" ht="14.25" customHeight="1" spans="1:5">
      <c r="A394" s="26">
        <v>43977</v>
      </c>
      <c r="B394" s="27" t="s">
        <v>17</v>
      </c>
      <c r="C394" s="27">
        <v>21</v>
      </c>
      <c r="D394" s="27">
        <v>2418</v>
      </c>
      <c r="E394" s="27">
        <v>2215</v>
      </c>
    </row>
    <row r="395" ht="14.25" customHeight="1" spans="1:5">
      <c r="A395" s="26">
        <v>43977</v>
      </c>
      <c r="B395" s="27" t="s">
        <v>10</v>
      </c>
      <c r="C395" s="27">
        <v>20</v>
      </c>
      <c r="D395" s="27">
        <v>2044</v>
      </c>
      <c r="E395" s="27">
        <v>1863</v>
      </c>
    </row>
    <row r="396" ht="14.25" customHeight="1" spans="1:5">
      <c r="A396" s="26">
        <v>43977</v>
      </c>
      <c r="B396" s="27" t="s">
        <v>20</v>
      </c>
      <c r="C396" s="27">
        <v>20</v>
      </c>
      <c r="D396" s="27">
        <v>1814</v>
      </c>
      <c r="E396" s="27">
        <v>1655</v>
      </c>
    </row>
    <row r="397" ht="14.25" customHeight="1" spans="1:5">
      <c r="A397" s="26">
        <v>43977</v>
      </c>
      <c r="B397" s="27" t="s">
        <v>22</v>
      </c>
      <c r="C397" s="27">
        <v>54</v>
      </c>
      <c r="D397" s="27">
        <v>14482</v>
      </c>
      <c r="E397" s="27">
        <v>13510</v>
      </c>
    </row>
    <row r="398" ht="14.25" customHeight="1" spans="1:5">
      <c r="A398" s="26">
        <v>43977</v>
      </c>
      <c r="B398" s="27" t="s">
        <v>21</v>
      </c>
      <c r="C398" s="27">
        <v>59</v>
      </c>
      <c r="D398" s="27">
        <v>15369</v>
      </c>
      <c r="E398" s="27">
        <v>14299</v>
      </c>
    </row>
    <row r="399" ht="14.25" customHeight="1" spans="1:5">
      <c r="A399" s="26">
        <v>43977</v>
      </c>
      <c r="B399" s="27" t="s">
        <v>13</v>
      </c>
      <c r="C399" s="27">
        <v>20</v>
      </c>
      <c r="D399" s="27">
        <v>2036</v>
      </c>
      <c r="E399" s="27">
        <v>1790</v>
      </c>
    </row>
    <row r="400" ht="14.25" customHeight="1" spans="1:5">
      <c r="A400" s="26">
        <v>43977</v>
      </c>
      <c r="B400" s="27" t="s">
        <v>23</v>
      </c>
      <c r="C400" s="27">
        <v>18</v>
      </c>
      <c r="D400" s="27">
        <v>914</v>
      </c>
      <c r="E400" s="27">
        <v>804</v>
      </c>
    </row>
    <row r="401" ht="14.25" customHeight="1" spans="1:5">
      <c r="A401" s="26">
        <v>43977</v>
      </c>
      <c r="B401" s="27" t="s">
        <v>18</v>
      </c>
      <c r="C401" s="27">
        <v>17</v>
      </c>
      <c r="D401" s="27">
        <v>1140</v>
      </c>
      <c r="E401" s="27">
        <v>1016</v>
      </c>
    </row>
    <row r="402" ht="14.25" customHeight="1" spans="1:5">
      <c r="A402" s="26">
        <v>43977</v>
      </c>
      <c r="B402" s="27" t="s">
        <v>19</v>
      </c>
      <c r="C402" s="27">
        <v>15</v>
      </c>
      <c r="D402" s="27">
        <v>812</v>
      </c>
      <c r="E402" s="27">
        <v>711</v>
      </c>
    </row>
    <row r="403" ht="14.25" customHeight="1" spans="1:5">
      <c r="A403" s="26">
        <v>43977</v>
      </c>
      <c r="B403" s="27" t="s">
        <v>15</v>
      </c>
      <c r="C403" s="27">
        <v>124</v>
      </c>
      <c r="D403" s="27">
        <v>21153</v>
      </c>
      <c r="E403" s="27">
        <v>19673</v>
      </c>
    </row>
    <row r="404" ht="14.25" customHeight="1" spans="1:5">
      <c r="A404" s="26">
        <v>43977</v>
      </c>
      <c r="B404" s="27" t="s">
        <v>14</v>
      </c>
      <c r="C404" s="27">
        <v>129</v>
      </c>
      <c r="D404" s="27">
        <v>16459</v>
      </c>
      <c r="E404" s="27">
        <v>15355</v>
      </c>
    </row>
    <row r="405" ht="14.25" customHeight="1" spans="1:5">
      <c r="A405" s="26">
        <v>43977</v>
      </c>
      <c r="B405" s="27" t="s">
        <v>12</v>
      </c>
      <c r="C405" s="27">
        <v>10</v>
      </c>
      <c r="D405" s="27">
        <v>692</v>
      </c>
      <c r="E405" s="27">
        <v>601</v>
      </c>
    </row>
    <row r="406" ht="14.25" customHeight="1" spans="1:5">
      <c r="A406" s="26">
        <v>43977</v>
      </c>
      <c r="B406" s="27" t="s">
        <v>24</v>
      </c>
      <c r="C406" s="27">
        <v>7</v>
      </c>
      <c r="D406" s="27">
        <v>577</v>
      </c>
      <c r="E406" s="27">
        <v>389</v>
      </c>
    </row>
    <row r="407" ht="14.25" customHeight="1" spans="1:5">
      <c r="A407" s="26">
        <v>43978</v>
      </c>
      <c r="B407" s="27" t="s">
        <v>16</v>
      </c>
      <c r="C407" s="27">
        <v>36</v>
      </c>
      <c r="D407" s="27">
        <v>4951</v>
      </c>
      <c r="E407" s="27">
        <v>4584</v>
      </c>
    </row>
    <row r="408" ht="14.25" customHeight="1" spans="1:5">
      <c r="A408" s="26">
        <v>43978</v>
      </c>
      <c r="B408" s="27" t="s">
        <v>11</v>
      </c>
      <c r="C408" s="27">
        <v>31</v>
      </c>
      <c r="D408" s="27">
        <v>5330</v>
      </c>
      <c r="E408" s="27">
        <v>4977</v>
      </c>
    </row>
    <row r="409" ht="14.25" customHeight="1" spans="1:5">
      <c r="A409" s="26">
        <v>43978</v>
      </c>
      <c r="B409" s="27" t="s">
        <v>17</v>
      </c>
      <c r="C409" s="27">
        <v>21</v>
      </c>
      <c r="D409" s="27">
        <v>2430</v>
      </c>
      <c r="E409" s="27">
        <v>2216</v>
      </c>
    </row>
    <row r="410" ht="14.25" customHeight="1" spans="1:5">
      <c r="A410" s="26">
        <v>43978</v>
      </c>
      <c r="B410" s="27" t="s">
        <v>10</v>
      </c>
      <c r="C410" s="27">
        <v>20</v>
      </c>
      <c r="D410" s="27">
        <v>2079</v>
      </c>
      <c r="E410" s="27">
        <v>1893</v>
      </c>
    </row>
    <row r="411" ht="14.25" customHeight="1" spans="1:5">
      <c r="A411" s="26">
        <v>43978</v>
      </c>
      <c r="B411" s="27" t="s">
        <v>20</v>
      </c>
      <c r="C411" s="27">
        <v>20</v>
      </c>
      <c r="D411" s="27">
        <v>1873</v>
      </c>
      <c r="E411" s="27">
        <v>1715</v>
      </c>
    </row>
    <row r="412" ht="14.25" customHeight="1" spans="1:5">
      <c r="A412" s="26">
        <v>43978</v>
      </c>
      <c r="B412" s="27" t="s">
        <v>22</v>
      </c>
      <c r="C412" s="27">
        <v>54</v>
      </c>
      <c r="D412" s="27">
        <v>13091</v>
      </c>
      <c r="E412" s="27">
        <v>12216</v>
      </c>
    </row>
    <row r="413" ht="14.25" customHeight="1" spans="1:5">
      <c r="A413" s="26">
        <v>43978</v>
      </c>
      <c r="B413" s="27" t="s">
        <v>21</v>
      </c>
      <c r="C413" s="27">
        <v>59</v>
      </c>
      <c r="D413" s="27">
        <v>13942</v>
      </c>
      <c r="E413" s="27">
        <v>12986</v>
      </c>
    </row>
    <row r="414" ht="14.25" customHeight="1" spans="1:5">
      <c r="A414" s="26">
        <v>43978</v>
      </c>
      <c r="B414" s="27" t="s">
        <v>13</v>
      </c>
      <c r="C414" s="27">
        <v>20</v>
      </c>
      <c r="D414" s="27">
        <v>2079</v>
      </c>
      <c r="E414" s="27">
        <v>1856</v>
      </c>
    </row>
    <row r="415" ht="14.25" customHeight="1" spans="1:5">
      <c r="A415" s="26">
        <v>43978</v>
      </c>
      <c r="B415" s="27" t="s">
        <v>23</v>
      </c>
      <c r="C415" s="27">
        <v>18</v>
      </c>
      <c r="D415" s="27">
        <v>962</v>
      </c>
      <c r="E415" s="27">
        <v>859</v>
      </c>
    </row>
    <row r="416" ht="14.25" customHeight="1" spans="1:5">
      <c r="A416" s="26">
        <v>43978</v>
      </c>
      <c r="B416" s="27" t="s">
        <v>18</v>
      </c>
      <c r="C416" s="27">
        <v>17</v>
      </c>
      <c r="D416" s="27">
        <v>1203</v>
      </c>
      <c r="E416" s="27">
        <v>1077</v>
      </c>
    </row>
    <row r="417" ht="14.25" customHeight="1" spans="1:5">
      <c r="A417" s="26">
        <v>43978</v>
      </c>
      <c r="B417" s="27" t="s">
        <v>19</v>
      </c>
      <c r="C417" s="27">
        <v>15</v>
      </c>
      <c r="D417" s="27">
        <v>809</v>
      </c>
      <c r="E417" s="27">
        <v>702</v>
      </c>
    </row>
    <row r="418" ht="14.25" customHeight="1" spans="1:5">
      <c r="A418" s="26">
        <v>43978</v>
      </c>
      <c r="B418" s="27" t="s">
        <v>15</v>
      </c>
      <c r="C418" s="27">
        <v>124</v>
      </c>
      <c r="D418" s="27">
        <v>21384</v>
      </c>
      <c r="E418" s="27">
        <v>19897</v>
      </c>
    </row>
    <row r="419" ht="14.25" customHeight="1" spans="1:5">
      <c r="A419" s="26">
        <v>43978</v>
      </c>
      <c r="B419" s="27" t="s">
        <v>14</v>
      </c>
      <c r="C419" s="27">
        <v>129</v>
      </c>
      <c r="D419" s="27">
        <v>17115</v>
      </c>
      <c r="E419" s="27">
        <v>15962</v>
      </c>
    </row>
    <row r="420" ht="14.25" customHeight="1" spans="1:5">
      <c r="A420" s="26">
        <v>43978</v>
      </c>
      <c r="B420" s="27" t="s">
        <v>12</v>
      </c>
      <c r="C420" s="27">
        <v>10</v>
      </c>
      <c r="D420" s="27">
        <v>757</v>
      </c>
      <c r="E420" s="27">
        <v>660</v>
      </c>
    </row>
    <row r="421" ht="14.25" customHeight="1" spans="1:5">
      <c r="A421" s="26">
        <v>43978</v>
      </c>
      <c r="B421" s="27" t="s">
        <v>24</v>
      </c>
      <c r="C421" s="27">
        <v>7</v>
      </c>
      <c r="D421" s="27">
        <v>409</v>
      </c>
      <c r="E421" s="27">
        <v>329</v>
      </c>
    </row>
    <row r="422" ht="14.25" customHeight="1" spans="1:5">
      <c r="A422" s="26">
        <v>43979</v>
      </c>
      <c r="B422" s="27" t="s">
        <v>16</v>
      </c>
      <c r="C422" s="27">
        <v>37</v>
      </c>
      <c r="D422" s="27">
        <v>4840</v>
      </c>
      <c r="E422" s="27">
        <v>4475</v>
      </c>
    </row>
    <row r="423" ht="14.25" customHeight="1" spans="1:5">
      <c r="A423" s="26">
        <v>43979</v>
      </c>
      <c r="B423" s="27" t="s">
        <v>11</v>
      </c>
      <c r="C423" s="27">
        <v>31</v>
      </c>
      <c r="D423" s="27">
        <v>5355</v>
      </c>
      <c r="E423" s="27">
        <v>4969</v>
      </c>
    </row>
    <row r="424" ht="14.25" customHeight="1" spans="1:5">
      <c r="A424" s="26">
        <v>43979</v>
      </c>
      <c r="B424" s="27" t="s">
        <v>17</v>
      </c>
      <c r="C424" s="27">
        <v>22</v>
      </c>
      <c r="D424" s="27">
        <v>2454</v>
      </c>
      <c r="E424" s="27">
        <v>2239</v>
      </c>
    </row>
    <row r="425" ht="14.25" customHeight="1" spans="1:5">
      <c r="A425" s="26">
        <v>43979</v>
      </c>
      <c r="B425" s="27" t="s">
        <v>10</v>
      </c>
      <c r="C425" s="27">
        <v>20</v>
      </c>
      <c r="D425" s="27">
        <v>1886</v>
      </c>
      <c r="E425" s="27">
        <v>1736</v>
      </c>
    </row>
    <row r="426" ht="14.25" customHeight="1" spans="1:5">
      <c r="A426" s="26">
        <v>43979</v>
      </c>
      <c r="B426" s="27" t="s">
        <v>20</v>
      </c>
      <c r="C426" s="27">
        <v>20</v>
      </c>
      <c r="D426" s="27">
        <v>1875</v>
      </c>
      <c r="E426" s="27">
        <v>1701</v>
      </c>
    </row>
    <row r="427" ht="14.25" customHeight="1" spans="1:5">
      <c r="A427" s="26">
        <v>43979</v>
      </c>
      <c r="B427" s="27" t="s">
        <v>22</v>
      </c>
      <c r="C427" s="27">
        <v>54</v>
      </c>
      <c r="D427" s="27">
        <v>12409</v>
      </c>
      <c r="E427" s="27">
        <v>11582</v>
      </c>
    </row>
    <row r="428" ht="14.25" customHeight="1" spans="1:5">
      <c r="A428" s="26">
        <v>43979</v>
      </c>
      <c r="B428" s="27" t="s">
        <v>21</v>
      </c>
      <c r="C428" s="27">
        <v>60</v>
      </c>
      <c r="D428" s="27">
        <v>12854</v>
      </c>
      <c r="E428" s="27">
        <v>11954</v>
      </c>
    </row>
    <row r="429" ht="14.25" customHeight="1" spans="1:5">
      <c r="A429" s="26">
        <v>43979</v>
      </c>
      <c r="B429" s="27" t="s">
        <v>13</v>
      </c>
      <c r="C429" s="27">
        <v>20</v>
      </c>
      <c r="D429" s="27">
        <v>2088</v>
      </c>
      <c r="E429" s="27">
        <v>1848</v>
      </c>
    </row>
    <row r="430" ht="14.25" customHeight="1" spans="1:5">
      <c r="A430" s="26">
        <v>43979</v>
      </c>
      <c r="B430" s="27" t="s">
        <v>23</v>
      </c>
      <c r="C430" s="27">
        <v>18</v>
      </c>
      <c r="D430" s="27">
        <v>1020</v>
      </c>
      <c r="E430" s="27">
        <v>911</v>
      </c>
    </row>
    <row r="431" ht="14.25" customHeight="1" spans="1:5">
      <c r="A431" s="26">
        <v>43979</v>
      </c>
      <c r="B431" s="27" t="s">
        <v>18</v>
      </c>
      <c r="C431" s="27">
        <v>17</v>
      </c>
      <c r="D431" s="27">
        <v>1097</v>
      </c>
      <c r="E431" s="27">
        <v>968</v>
      </c>
    </row>
    <row r="432" ht="14.25" customHeight="1" spans="1:5">
      <c r="A432" s="26">
        <v>43979</v>
      </c>
      <c r="B432" s="27" t="s">
        <v>19</v>
      </c>
      <c r="C432" s="27">
        <v>16</v>
      </c>
      <c r="D432" s="27">
        <v>876</v>
      </c>
      <c r="E432" s="27">
        <v>762</v>
      </c>
    </row>
    <row r="433" ht="14.25" customHeight="1" spans="1:5">
      <c r="A433" s="26">
        <v>43979</v>
      </c>
      <c r="B433" s="27" t="s">
        <v>9</v>
      </c>
      <c r="C433" s="27">
        <v>15</v>
      </c>
      <c r="D433" s="27">
        <v>464</v>
      </c>
      <c r="E433" s="27">
        <v>390</v>
      </c>
    </row>
    <row r="434" ht="14.25" customHeight="1" spans="1:5">
      <c r="A434" s="26">
        <v>43979</v>
      </c>
      <c r="B434" s="27" t="s">
        <v>15</v>
      </c>
      <c r="C434" s="27">
        <v>124</v>
      </c>
      <c r="D434" s="27">
        <v>20868</v>
      </c>
      <c r="E434" s="27">
        <v>19342</v>
      </c>
    </row>
    <row r="435" ht="14.25" customHeight="1" spans="1:5">
      <c r="A435" s="26">
        <v>43979</v>
      </c>
      <c r="B435" s="27" t="s">
        <v>14</v>
      </c>
      <c r="C435" s="27">
        <v>129</v>
      </c>
      <c r="D435" s="27">
        <v>16453</v>
      </c>
      <c r="E435" s="27">
        <v>15289</v>
      </c>
    </row>
    <row r="436" ht="14.25" customHeight="1" spans="1:5">
      <c r="A436" s="26">
        <v>43979</v>
      </c>
      <c r="B436" s="27" t="s">
        <v>12</v>
      </c>
      <c r="C436" s="27">
        <v>10</v>
      </c>
      <c r="D436" s="27">
        <v>791</v>
      </c>
      <c r="E436" s="27">
        <v>697</v>
      </c>
    </row>
    <row r="437" ht="14.25" customHeight="1" spans="1:5">
      <c r="A437" s="26">
        <v>43979</v>
      </c>
      <c r="B437" s="27" t="s">
        <v>24</v>
      </c>
      <c r="C437" s="27">
        <v>7</v>
      </c>
      <c r="D437" s="27">
        <v>420</v>
      </c>
      <c r="E437" s="27">
        <v>347</v>
      </c>
    </row>
    <row r="438" ht="14.25" customHeight="1" spans="1:5">
      <c r="A438" s="26">
        <v>43980</v>
      </c>
      <c r="B438" s="27" t="s">
        <v>16</v>
      </c>
      <c r="C438" s="27">
        <v>37</v>
      </c>
      <c r="D438" s="27">
        <v>5672</v>
      </c>
      <c r="E438" s="27">
        <v>5198</v>
      </c>
    </row>
    <row r="439" ht="14.25" customHeight="1" spans="1:5">
      <c r="A439" s="26">
        <v>43980</v>
      </c>
      <c r="B439" s="27" t="s">
        <v>11</v>
      </c>
      <c r="C439" s="27">
        <v>31</v>
      </c>
      <c r="D439" s="27">
        <v>5751</v>
      </c>
      <c r="E439" s="27">
        <v>5319</v>
      </c>
    </row>
    <row r="440" ht="14.25" customHeight="1" spans="1:5">
      <c r="A440" s="26">
        <v>43980</v>
      </c>
      <c r="B440" s="27" t="s">
        <v>17</v>
      </c>
      <c r="C440" s="27">
        <v>22</v>
      </c>
      <c r="D440" s="27">
        <v>2597</v>
      </c>
      <c r="E440" s="27">
        <v>2379</v>
      </c>
    </row>
    <row r="441" ht="14.25" customHeight="1" spans="1:5">
      <c r="A441" s="26">
        <v>43980</v>
      </c>
      <c r="B441" s="27" t="s">
        <v>10</v>
      </c>
      <c r="C441" s="27">
        <v>20</v>
      </c>
      <c r="D441" s="27">
        <v>2111</v>
      </c>
      <c r="E441" s="27">
        <v>1917</v>
      </c>
    </row>
    <row r="442" ht="14.25" customHeight="1" spans="1:5">
      <c r="A442" s="26">
        <v>43980</v>
      </c>
      <c r="B442" s="27" t="s">
        <v>20</v>
      </c>
      <c r="C442" s="27">
        <v>20</v>
      </c>
      <c r="D442" s="27">
        <v>2064</v>
      </c>
      <c r="E442" s="27">
        <v>1896</v>
      </c>
    </row>
    <row r="443" ht="14.25" customHeight="1" spans="1:5">
      <c r="A443" s="26">
        <v>43980</v>
      </c>
      <c r="B443" s="27" t="s">
        <v>22</v>
      </c>
      <c r="C443" s="27">
        <v>54</v>
      </c>
      <c r="D443" s="27">
        <v>14031</v>
      </c>
      <c r="E443" s="27">
        <v>12943</v>
      </c>
    </row>
    <row r="444" ht="14.25" customHeight="1" spans="1:5">
      <c r="A444" s="26">
        <v>43980</v>
      </c>
      <c r="B444" s="27" t="s">
        <v>21</v>
      </c>
      <c r="C444" s="27">
        <v>59</v>
      </c>
      <c r="D444" s="27">
        <v>14507</v>
      </c>
      <c r="E444" s="27">
        <v>13386</v>
      </c>
    </row>
    <row r="445" ht="14.25" customHeight="1" spans="1:5">
      <c r="A445" s="26">
        <v>43980</v>
      </c>
      <c r="B445" s="27" t="s">
        <v>13</v>
      </c>
      <c r="C445" s="27">
        <v>20</v>
      </c>
      <c r="D445" s="27">
        <v>2249</v>
      </c>
      <c r="E445" s="27">
        <v>2000</v>
      </c>
    </row>
    <row r="446" ht="14.25" customHeight="1" spans="1:5">
      <c r="A446" s="26">
        <v>43980</v>
      </c>
      <c r="B446" s="27" t="s">
        <v>23</v>
      </c>
      <c r="C446" s="27">
        <v>18</v>
      </c>
      <c r="D446" s="27">
        <v>1014</v>
      </c>
      <c r="E446" s="27">
        <v>893</v>
      </c>
    </row>
    <row r="447" ht="14.25" customHeight="1" spans="1:5">
      <c r="A447" s="26">
        <v>43980</v>
      </c>
      <c r="B447" s="27" t="s">
        <v>18</v>
      </c>
      <c r="C447" s="27">
        <v>17</v>
      </c>
      <c r="D447" s="27">
        <v>1296</v>
      </c>
      <c r="E447" s="27">
        <v>1153</v>
      </c>
    </row>
    <row r="448" ht="14.25" customHeight="1" spans="1:5">
      <c r="A448" s="26">
        <v>43980</v>
      </c>
      <c r="B448" s="27" t="s">
        <v>19</v>
      </c>
      <c r="C448" s="27">
        <v>16</v>
      </c>
      <c r="D448" s="27">
        <v>981</v>
      </c>
      <c r="E448" s="27">
        <v>859</v>
      </c>
    </row>
    <row r="449" ht="14.25" customHeight="1" spans="1:5">
      <c r="A449" s="26">
        <v>43980</v>
      </c>
      <c r="B449" s="27" t="s">
        <v>9</v>
      </c>
      <c r="C449" s="27">
        <v>15</v>
      </c>
      <c r="D449" s="27">
        <v>400</v>
      </c>
      <c r="E449" s="27">
        <v>329</v>
      </c>
    </row>
    <row r="450" ht="14.25" customHeight="1" spans="1:5">
      <c r="A450" s="26">
        <v>43980</v>
      </c>
      <c r="B450" s="27" t="s">
        <v>15</v>
      </c>
      <c r="C450" s="27">
        <v>124</v>
      </c>
      <c r="D450" s="27">
        <v>25828</v>
      </c>
      <c r="E450" s="27">
        <v>23974</v>
      </c>
    </row>
    <row r="451" ht="14.25" customHeight="1" spans="1:5">
      <c r="A451" s="26">
        <v>43980</v>
      </c>
      <c r="B451" s="27" t="s">
        <v>14</v>
      </c>
      <c r="C451" s="27">
        <v>129</v>
      </c>
      <c r="D451" s="27">
        <v>22403</v>
      </c>
      <c r="E451" s="27">
        <v>20676</v>
      </c>
    </row>
    <row r="452" ht="14.25" customHeight="1" spans="1:5">
      <c r="A452" s="26">
        <v>43980</v>
      </c>
      <c r="B452" s="27" t="s">
        <v>12</v>
      </c>
      <c r="C452" s="27">
        <v>10</v>
      </c>
      <c r="D452" s="27">
        <v>873</v>
      </c>
      <c r="E452" s="27">
        <v>770</v>
      </c>
    </row>
    <row r="453" ht="14.25" customHeight="1" spans="1:5">
      <c r="A453" s="26">
        <v>43980</v>
      </c>
      <c r="B453" s="27" t="s">
        <v>24</v>
      </c>
      <c r="C453" s="27">
        <v>7</v>
      </c>
      <c r="D453" s="27">
        <v>491</v>
      </c>
      <c r="E453" s="27">
        <v>411</v>
      </c>
    </row>
    <row r="454" ht="14.25" customHeight="1" spans="1:5">
      <c r="A454" s="26">
        <v>43981</v>
      </c>
      <c r="B454" s="27" t="s">
        <v>16</v>
      </c>
      <c r="C454" s="27">
        <v>37</v>
      </c>
      <c r="D454" s="27">
        <v>6645</v>
      </c>
      <c r="E454" s="27">
        <v>6122</v>
      </c>
    </row>
    <row r="455" ht="14.25" customHeight="1" spans="1:5">
      <c r="A455" s="26">
        <v>43981</v>
      </c>
      <c r="B455" s="27" t="s">
        <v>11</v>
      </c>
      <c r="C455" s="27">
        <v>31</v>
      </c>
      <c r="D455" s="27">
        <v>6735</v>
      </c>
      <c r="E455" s="27">
        <v>6264</v>
      </c>
    </row>
    <row r="456" ht="14.25" customHeight="1" spans="1:5">
      <c r="A456" s="26">
        <v>43981</v>
      </c>
      <c r="B456" s="27" t="s">
        <v>17</v>
      </c>
      <c r="C456" s="27">
        <v>22</v>
      </c>
      <c r="D456" s="27">
        <v>2793</v>
      </c>
      <c r="E456" s="27">
        <v>2539</v>
      </c>
    </row>
    <row r="457" ht="14.25" customHeight="1" spans="1:5">
      <c r="A457" s="26">
        <v>43981</v>
      </c>
      <c r="B457" s="27" t="s">
        <v>10</v>
      </c>
      <c r="C457" s="27">
        <v>20</v>
      </c>
      <c r="D457" s="27">
        <v>2597</v>
      </c>
      <c r="E457" s="27">
        <v>2376</v>
      </c>
    </row>
    <row r="458" ht="14.25" customHeight="1" spans="1:5">
      <c r="A458" s="26">
        <v>43981</v>
      </c>
      <c r="B458" s="27" t="s">
        <v>20</v>
      </c>
      <c r="C458" s="27">
        <v>20</v>
      </c>
      <c r="D458" s="27">
        <v>2174</v>
      </c>
      <c r="E458" s="27">
        <v>1957</v>
      </c>
    </row>
    <row r="459" ht="14.25" customHeight="1" spans="1:5">
      <c r="A459" s="26">
        <v>43981</v>
      </c>
      <c r="B459" s="27" t="s">
        <v>22</v>
      </c>
      <c r="C459" s="27">
        <v>54</v>
      </c>
      <c r="D459" s="27">
        <v>14590</v>
      </c>
      <c r="E459" s="27">
        <v>13551</v>
      </c>
    </row>
    <row r="460" ht="14.25" customHeight="1" spans="1:5">
      <c r="A460" s="26">
        <v>43981</v>
      </c>
      <c r="B460" s="27" t="s">
        <v>21</v>
      </c>
      <c r="C460" s="27">
        <v>59</v>
      </c>
      <c r="D460" s="27">
        <v>15030</v>
      </c>
      <c r="E460" s="27">
        <v>13956</v>
      </c>
    </row>
    <row r="461" ht="14.25" customHeight="1" spans="1:5">
      <c r="A461" s="26">
        <v>43981</v>
      </c>
      <c r="B461" s="27" t="s">
        <v>13</v>
      </c>
      <c r="C461" s="27">
        <v>20</v>
      </c>
      <c r="D461" s="27">
        <v>2451</v>
      </c>
      <c r="E461" s="27">
        <v>2178</v>
      </c>
    </row>
    <row r="462" ht="14.25" customHeight="1" spans="1:5">
      <c r="A462" s="26">
        <v>43981</v>
      </c>
      <c r="B462" s="27" t="s">
        <v>23</v>
      </c>
      <c r="C462" s="27">
        <v>18</v>
      </c>
      <c r="D462" s="27">
        <v>1216</v>
      </c>
      <c r="E462" s="27">
        <v>1101</v>
      </c>
    </row>
    <row r="463" ht="14.25" customHeight="1" spans="1:5">
      <c r="A463" s="26">
        <v>43981</v>
      </c>
      <c r="B463" s="27" t="s">
        <v>18</v>
      </c>
      <c r="C463" s="27">
        <v>17</v>
      </c>
      <c r="D463" s="27">
        <v>1697</v>
      </c>
      <c r="E463" s="27">
        <v>1499</v>
      </c>
    </row>
    <row r="464" ht="14.25" customHeight="1" spans="1:5">
      <c r="A464" s="26">
        <v>43981</v>
      </c>
      <c r="B464" s="27" t="s">
        <v>19</v>
      </c>
      <c r="C464" s="27">
        <v>16</v>
      </c>
      <c r="D464" s="27">
        <v>1048</v>
      </c>
      <c r="E464" s="27">
        <v>918</v>
      </c>
    </row>
    <row r="465" ht="14.25" customHeight="1" spans="1:5">
      <c r="A465" s="26">
        <v>43981</v>
      </c>
      <c r="B465" s="27" t="s">
        <v>9</v>
      </c>
      <c r="C465" s="27">
        <v>15</v>
      </c>
      <c r="D465" s="27">
        <v>490</v>
      </c>
      <c r="E465" s="27">
        <v>409</v>
      </c>
    </row>
    <row r="466" ht="14.25" customHeight="1" spans="1:5">
      <c r="A466" s="26">
        <v>43981</v>
      </c>
      <c r="B466" s="27" t="s">
        <v>15</v>
      </c>
      <c r="C466" s="27">
        <v>124</v>
      </c>
      <c r="D466" s="27">
        <v>24325</v>
      </c>
      <c r="E466" s="27">
        <v>22469</v>
      </c>
    </row>
    <row r="467" ht="14.25" customHeight="1" spans="1:5">
      <c r="A467" s="26">
        <v>43981</v>
      </c>
      <c r="B467" s="27" t="s">
        <v>14</v>
      </c>
      <c r="C467" s="27">
        <v>129</v>
      </c>
      <c r="D467" s="27">
        <v>20243</v>
      </c>
      <c r="E467" s="27">
        <v>18711</v>
      </c>
    </row>
    <row r="468" ht="14.25" customHeight="1" spans="1:5">
      <c r="A468" s="26">
        <v>43981</v>
      </c>
      <c r="B468" s="27" t="s">
        <v>12</v>
      </c>
      <c r="C468" s="27">
        <v>10</v>
      </c>
      <c r="D468" s="27">
        <v>865</v>
      </c>
      <c r="E468" s="27">
        <v>763</v>
      </c>
    </row>
    <row r="469" ht="14.25" customHeight="1" spans="1:5">
      <c r="A469" s="26">
        <v>43981</v>
      </c>
      <c r="B469" s="27" t="s">
        <v>24</v>
      </c>
      <c r="C469" s="27">
        <v>7</v>
      </c>
      <c r="D469" s="27">
        <v>532</v>
      </c>
      <c r="E469" s="27">
        <v>449</v>
      </c>
    </row>
    <row r="470" ht="14.25" customHeight="1" spans="1:5">
      <c r="A470" s="26">
        <v>43982</v>
      </c>
      <c r="B470" s="27" t="s">
        <v>16</v>
      </c>
      <c r="C470" s="27">
        <v>37</v>
      </c>
      <c r="D470" s="27">
        <v>5215</v>
      </c>
      <c r="E470" s="27">
        <v>4848</v>
      </c>
    </row>
    <row r="471" ht="14.25" customHeight="1" spans="1:5">
      <c r="A471" s="26">
        <v>43982</v>
      </c>
      <c r="B471" s="27" t="s">
        <v>11</v>
      </c>
      <c r="C471" s="27">
        <v>31</v>
      </c>
      <c r="D471" s="27">
        <v>5760</v>
      </c>
      <c r="E471" s="27">
        <v>5367</v>
      </c>
    </row>
    <row r="472" ht="14.25" customHeight="1" spans="1:5">
      <c r="A472" s="26">
        <v>43982</v>
      </c>
      <c r="B472" s="27" t="s">
        <v>17</v>
      </c>
      <c r="C472" s="27">
        <v>23</v>
      </c>
      <c r="D472" s="27">
        <v>2522</v>
      </c>
      <c r="E472" s="27">
        <v>2295</v>
      </c>
    </row>
    <row r="473" ht="14.25" customHeight="1" spans="1:5">
      <c r="A473" s="26">
        <v>43982</v>
      </c>
      <c r="B473" s="27" t="s">
        <v>10</v>
      </c>
      <c r="C473" s="27">
        <v>21</v>
      </c>
      <c r="D473" s="27">
        <v>2271</v>
      </c>
      <c r="E473" s="27">
        <v>2085</v>
      </c>
    </row>
    <row r="474" ht="14.25" customHeight="1" spans="1:5">
      <c r="A474" s="26">
        <v>43982</v>
      </c>
      <c r="B474" s="27" t="s">
        <v>20</v>
      </c>
      <c r="C474" s="27">
        <v>21</v>
      </c>
      <c r="D474" s="27">
        <v>2056</v>
      </c>
      <c r="E474" s="27">
        <v>1879</v>
      </c>
    </row>
    <row r="475" ht="14.25" customHeight="1" spans="1:5">
      <c r="A475" s="26">
        <v>43982</v>
      </c>
      <c r="B475" s="27" t="s">
        <v>22</v>
      </c>
      <c r="C475" s="27">
        <v>54</v>
      </c>
      <c r="D475" s="27">
        <v>13106</v>
      </c>
      <c r="E475" s="27">
        <v>12164</v>
      </c>
    </row>
    <row r="476" ht="14.25" customHeight="1" spans="1:5">
      <c r="A476" s="26">
        <v>43982</v>
      </c>
      <c r="B476" s="27" t="s">
        <v>21</v>
      </c>
      <c r="C476" s="27">
        <v>59</v>
      </c>
      <c r="D476" s="27">
        <v>13684</v>
      </c>
      <c r="E476" s="27">
        <v>12690</v>
      </c>
    </row>
    <row r="477" ht="14.25" customHeight="1" spans="1:5">
      <c r="A477" s="26">
        <v>43982</v>
      </c>
      <c r="B477" s="27" t="s">
        <v>13</v>
      </c>
      <c r="C477" s="27">
        <v>20</v>
      </c>
      <c r="D477" s="27">
        <v>2060</v>
      </c>
      <c r="E477" s="27">
        <v>1826</v>
      </c>
    </row>
    <row r="478" ht="14.25" customHeight="1" spans="1:5">
      <c r="A478" s="26">
        <v>43982</v>
      </c>
      <c r="B478" s="27" t="s">
        <v>23</v>
      </c>
      <c r="C478" s="27">
        <v>18</v>
      </c>
      <c r="D478" s="27">
        <v>1029</v>
      </c>
      <c r="E478" s="27">
        <v>925</v>
      </c>
    </row>
    <row r="479" ht="14.25" customHeight="1" spans="1:5">
      <c r="A479" s="26">
        <v>43982</v>
      </c>
      <c r="B479" s="27" t="s">
        <v>18</v>
      </c>
      <c r="C479" s="27">
        <v>17</v>
      </c>
      <c r="D479" s="27">
        <v>1186</v>
      </c>
      <c r="E479" s="27">
        <v>1054</v>
      </c>
    </row>
    <row r="480" ht="14.25" customHeight="1" spans="1:5">
      <c r="A480" s="26">
        <v>43982</v>
      </c>
      <c r="B480" s="27" t="s">
        <v>19</v>
      </c>
      <c r="C480" s="27">
        <v>16</v>
      </c>
      <c r="D480" s="27">
        <v>917</v>
      </c>
      <c r="E480" s="27">
        <v>802</v>
      </c>
    </row>
    <row r="481" ht="14.25" customHeight="1" spans="1:5">
      <c r="A481" s="26">
        <v>43982</v>
      </c>
      <c r="B481" s="27" t="s">
        <v>9</v>
      </c>
      <c r="C481" s="27">
        <v>15</v>
      </c>
      <c r="D481" s="27">
        <v>441</v>
      </c>
      <c r="E481" s="27">
        <v>368</v>
      </c>
    </row>
    <row r="482" ht="14.25" customHeight="1" spans="1:5">
      <c r="A482" s="26">
        <v>43982</v>
      </c>
      <c r="B482" s="27" t="s">
        <v>15</v>
      </c>
      <c r="C482" s="27">
        <v>124</v>
      </c>
      <c r="D482" s="27">
        <v>21392</v>
      </c>
      <c r="E482" s="27">
        <v>19869</v>
      </c>
    </row>
    <row r="483" ht="14.25" customHeight="1" spans="1:5">
      <c r="A483" s="26">
        <v>43982</v>
      </c>
      <c r="B483" s="27" t="s">
        <v>14</v>
      </c>
      <c r="C483" s="27">
        <v>129</v>
      </c>
      <c r="D483" s="27">
        <v>17235</v>
      </c>
      <c r="E483" s="27">
        <v>16052</v>
      </c>
    </row>
    <row r="484" ht="14.25" customHeight="1" spans="1:5">
      <c r="A484" s="26">
        <v>43982</v>
      </c>
      <c r="B484" s="27" t="s">
        <v>12</v>
      </c>
      <c r="C484" s="27">
        <v>10</v>
      </c>
      <c r="D484" s="27">
        <v>749</v>
      </c>
      <c r="E484" s="27">
        <v>655</v>
      </c>
    </row>
    <row r="485" ht="14.25" customHeight="1" spans="1:5">
      <c r="A485" s="26">
        <v>43982</v>
      </c>
      <c r="B485" s="27" t="s">
        <v>25</v>
      </c>
      <c r="C485" s="27">
        <v>9</v>
      </c>
      <c r="D485" s="27">
        <v>345</v>
      </c>
      <c r="E485" s="27">
        <v>255</v>
      </c>
    </row>
    <row r="486" ht="14.25" customHeight="1" spans="1:5">
      <c r="A486" s="26">
        <v>43982</v>
      </c>
      <c r="B486" s="27" t="s">
        <v>24</v>
      </c>
      <c r="C486" s="27">
        <v>7</v>
      </c>
      <c r="D486" s="27">
        <v>530</v>
      </c>
      <c r="E486" s="27">
        <v>447</v>
      </c>
    </row>
    <row r="487" ht="14.25" customHeight="1" spans="1:5">
      <c r="A487" s="26">
        <v>43982</v>
      </c>
      <c r="B487" s="27" t="s">
        <v>26</v>
      </c>
      <c r="C487" s="27">
        <v>6</v>
      </c>
      <c r="D487" s="27">
        <v>261</v>
      </c>
      <c r="E487" s="27">
        <v>188</v>
      </c>
    </row>
    <row r="488" ht="14.25" customHeight="1" spans="1:5">
      <c r="A488" s="26">
        <v>43983</v>
      </c>
      <c r="B488" s="27" t="s">
        <v>16</v>
      </c>
      <c r="C488" s="27">
        <v>37</v>
      </c>
      <c r="D488" s="27">
        <v>4722</v>
      </c>
      <c r="E488" s="27">
        <v>4352</v>
      </c>
    </row>
    <row r="489" ht="14.25" customHeight="1" spans="1:5">
      <c r="A489" s="26">
        <v>43983</v>
      </c>
      <c r="B489" s="27" t="s">
        <v>11</v>
      </c>
      <c r="C489" s="27">
        <v>31</v>
      </c>
      <c r="D489" s="27">
        <v>5468</v>
      </c>
      <c r="E489" s="27">
        <v>5081</v>
      </c>
    </row>
    <row r="490" ht="14.25" customHeight="1" spans="1:5">
      <c r="A490" s="26">
        <v>43983</v>
      </c>
      <c r="B490" s="27" t="s">
        <v>17</v>
      </c>
      <c r="C490" s="27">
        <v>23</v>
      </c>
      <c r="D490" s="27">
        <v>2531</v>
      </c>
      <c r="E490" s="27">
        <v>2296</v>
      </c>
    </row>
    <row r="491" ht="14.25" customHeight="1" spans="1:5">
      <c r="A491" s="26">
        <v>43983</v>
      </c>
      <c r="B491" s="27" t="s">
        <v>10</v>
      </c>
      <c r="C491" s="27">
        <v>21</v>
      </c>
      <c r="D491" s="27">
        <v>2025</v>
      </c>
      <c r="E491" s="27">
        <v>1849</v>
      </c>
    </row>
    <row r="492" ht="14.25" customHeight="1" spans="1:5">
      <c r="A492" s="26">
        <v>43983</v>
      </c>
      <c r="B492" s="27" t="s">
        <v>20</v>
      </c>
      <c r="C492" s="27">
        <v>21</v>
      </c>
      <c r="D492" s="27">
        <v>1879</v>
      </c>
      <c r="E492" s="27">
        <v>1720</v>
      </c>
    </row>
    <row r="493" ht="14.25" customHeight="1" spans="1:5">
      <c r="A493" s="26">
        <v>43983</v>
      </c>
      <c r="B493" s="27" t="s">
        <v>22</v>
      </c>
      <c r="C493" s="27">
        <v>54</v>
      </c>
      <c r="D493" s="27">
        <v>11864</v>
      </c>
      <c r="E493" s="27">
        <v>11071</v>
      </c>
    </row>
    <row r="494" ht="14.25" customHeight="1" spans="1:5">
      <c r="A494" s="26">
        <v>43983</v>
      </c>
      <c r="B494" s="27" t="s">
        <v>21</v>
      </c>
      <c r="C494" s="27">
        <v>59</v>
      </c>
      <c r="D494" s="27">
        <v>12299</v>
      </c>
      <c r="E494" s="27">
        <v>11448</v>
      </c>
    </row>
    <row r="495" ht="14.25" customHeight="1" spans="1:5">
      <c r="A495" s="26">
        <v>43983</v>
      </c>
      <c r="B495" s="27" t="s">
        <v>13</v>
      </c>
      <c r="C495" s="27">
        <v>20</v>
      </c>
      <c r="D495" s="27">
        <v>2136</v>
      </c>
      <c r="E495" s="27">
        <v>1899</v>
      </c>
    </row>
    <row r="496" ht="14.25" customHeight="1" spans="1:5">
      <c r="A496" s="26">
        <v>43983</v>
      </c>
      <c r="B496" s="27" t="s">
        <v>23</v>
      </c>
      <c r="C496" s="27">
        <v>18</v>
      </c>
      <c r="D496" s="27">
        <v>923</v>
      </c>
      <c r="E496" s="27">
        <v>824</v>
      </c>
    </row>
    <row r="497" ht="14.25" customHeight="1" spans="1:5">
      <c r="A497" s="26">
        <v>43983</v>
      </c>
      <c r="B497" s="27" t="s">
        <v>18</v>
      </c>
      <c r="C497" s="27">
        <v>17</v>
      </c>
      <c r="D497" s="27">
        <v>1185</v>
      </c>
      <c r="E497" s="27">
        <v>1042</v>
      </c>
    </row>
    <row r="498" ht="14.25" customHeight="1" spans="1:5">
      <c r="A498" s="26">
        <v>43983</v>
      </c>
      <c r="B498" s="27" t="s">
        <v>19</v>
      </c>
      <c r="C498" s="27">
        <v>16</v>
      </c>
      <c r="D498" s="27">
        <v>1019</v>
      </c>
      <c r="E498" s="27">
        <v>895</v>
      </c>
    </row>
    <row r="499" ht="14.25" customHeight="1" spans="1:5">
      <c r="A499" s="26">
        <v>43983</v>
      </c>
      <c r="B499" s="27" t="s">
        <v>9</v>
      </c>
      <c r="C499" s="27">
        <v>15</v>
      </c>
      <c r="D499" s="27">
        <v>453</v>
      </c>
      <c r="E499" s="27">
        <v>370</v>
      </c>
    </row>
    <row r="500" ht="14.25" customHeight="1" spans="1:5">
      <c r="A500" s="26">
        <v>43983</v>
      </c>
      <c r="B500" s="27" t="s">
        <v>15</v>
      </c>
      <c r="C500" s="27">
        <v>123</v>
      </c>
      <c r="D500" s="27">
        <v>20325</v>
      </c>
      <c r="E500" s="27">
        <v>18935</v>
      </c>
    </row>
    <row r="501" ht="14.25" customHeight="1" spans="1:5">
      <c r="A501" s="26">
        <v>43983</v>
      </c>
      <c r="B501" s="27" t="s">
        <v>14</v>
      </c>
      <c r="C501" s="27">
        <v>128</v>
      </c>
      <c r="D501" s="27">
        <v>16285</v>
      </c>
      <c r="E501" s="27">
        <v>15130</v>
      </c>
    </row>
    <row r="502" ht="14.25" customHeight="1" spans="1:5">
      <c r="A502" s="26">
        <v>43983</v>
      </c>
      <c r="B502" s="27" t="s">
        <v>12</v>
      </c>
      <c r="C502" s="27">
        <v>10</v>
      </c>
      <c r="D502" s="27">
        <v>719</v>
      </c>
      <c r="E502" s="27">
        <v>627</v>
      </c>
    </row>
    <row r="503" ht="14.25" customHeight="1" spans="1:5">
      <c r="A503" s="26">
        <v>43983</v>
      </c>
      <c r="B503" s="27" t="s">
        <v>25</v>
      </c>
      <c r="C503" s="27">
        <v>9</v>
      </c>
      <c r="D503" s="27">
        <v>294</v>
      </c>
      <c r="E503" s="27">
        <v>224</v>
      </c>
    </row>
    <row r="504" ht="14.25" customHeight="1" spans="1:5">
      <c r="A504" s="26">
        <v>43983</v>
      </c>
      <c r="B504" s="27" t="s">
        <v>24</v>
      </c>
      <c r="C504" s="27">
        <v>7</v>
      </c>
      <c r="D504" s="27">
        <v>500</v>
      </c>
      <c r="E504" s="27">
        <v>418</v>
      </c>
    </row>
    <row r="505" ht="14.25" customHeight="1" spans="1:5">
      <c r="A505" s="26">
        <v>43983</v>
      </c>
      <c r="B505" s="27" t="s">
        <v>26</v>
      </c>
      <c r="C505" s="27">
        <v>6</v>
      </c>
      <c r="D505" s="27">
        <v>237</v>
      </c>
      <c r="E505" s="27">
        <v>175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xmlns:etc="http://www.wps.cn/officeDocument/2017/etCustomData" ref="B1:B505" etc:filterBottomFollowUsedRange="0">
    <extLst/>
  </autoFilter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2"/>
  <sheetViews>
    <sheetView zoomScale="117" zoomScaleNormal="117" workbookViewId="0">
      <selection activeCell="A3" sqref="A3:C3"/>
    </sheetView>
  </sheetViews>
  <sheetFormatPr defaultColWidth="8.88888888888889" defaultRowHeight="14.4" outlineLevelCol="3"/>
  <cols>
    <col min="1" max="1" width="12.2222222222222"/>
    <col min="2" max="2" width="22.8888888888889"/>
    <col min="3" max="5" width="30.4444444444444"/>
  </cols>
  <sheetData>
    <row r="3" spans="1:4">
      <c r="A3" t="s">
        <v>8</v>
      </c>
      <c r="B3" t="s">
        <v>1</v>
      </c>
      <c r="C3" t="s">
        <v>27</v>
      </c>
      <c r="D3" t="s">
        <v>28</v>
      </c>
    </row>
    <row r="4" spans="1:4">
      <c r="A4">
        <v>18</v>
      </c>
      <c r="B4"/>
      <c r="C4">
        <v>836803032</v>
      </c>
      <c r="D4">
        <v>15050189.4844212</v>
      </c>
    </row>
    <row r="5" spans="2:4">
      <c r="B5" t="s">
        <v>16</v>
      </c>
      <c r="C5">
        <v>36934095</v>
      </c>
      <c r="D5">
        <v>1025947.08333333</v>
      </c>
    </row>
    <row r="6" spans="2:4">
      <c r="B6" t="s">
        <v>11</v>
      </c>
      <c r="C6">
        <v>42828757.5</v>
      </c>
      <c r="D6">
        <v>1381572.82258065</v>
      </c>
    </row>
    <row r="7" spans="2:4">
      <c r="B7" t="s">
        <v>17</v>
      </c>
      <c r="C7">
        <v>17828215.5</v>
      </c>
      <c r="D7">
        <v>905861.289473685</v>
      </c>
    </row>
    <row r="8" spans="2:4">
      <c r="B8" t="s">
        <v>10</v>
      </c>
      <c r="C8">
        <v>16029679.5</v>
      </c>
      <c r="D8">
        <v>868773.033333333</v>
      </c>
    </row>
    <row r="9" spans="2:4">
      <c r="B9" t="s">
        <v>20</v>
      </c>
      <c r="C9">
        <v>13955985</v>
      </c>
      <c r="D9">
        <v>748086.890350877</v>
      </c>
    </row>
    <row r="10" spans="2:4">
      <c r="B10" t="s">
        <v>22</v>
      </c>
      <c r="C10">
        <v>130713645</v>
      </c>
      <c r="D10">
        <v>2420623.05555556</v>
      </c>
    </row>
    <row r="11" spans="2:4">
      <c r="B11" t="s">
        <v>21</v>
      </c>
      <c r="C11">
        <v>136791225</v>
      </c>
      <c r="D11">
        <v>2318495.33898305</v>
      </c>
    </row>
    <row r="12" spans="2:4">
      <c r="B12" t="s">
        <v>13</v>
      </c>
      <c r="C12">
        <v>13145965.5</v>
      </c>
      <c r="D12">
        <v>712134.480392157</v>
      </c>
    </row>
    <row r="13" spans="2:4">
      <c r="B13" t="s">
        <v>23</v>
      </c>
      <c r="C13">
        <v>5746024.5</v>
      </c>
      <c r="D13">
        <v>383068.3</v>
      </c>
    </row>
    <row r="14" spans="2:4">
      <c r="B14" t="s">
        <v>18</v>
      </c>
      <c r="C14">
        <v>6961020</v>
      </c>
      <c r="D14">
        <v>464068</v>
      </c>
    </row>
    <row r="15" spans="2:4">
      <c r="B15" t="s">
        <v>19</v>
      </c>
      <c r="C15">
        <v>2008809</v>
      </c>
      <c r="D15">
        <v>133920.6</v>
      </c>
    </row>
    <row r="16" spans="2:4">
      <c r="B16" t="s">
        <v>15</v>
      </c>
      <c r="C16">
        <v>233059077</v>
      </c>
      <c r="D16">
        <v>1864472.616</v>
      </c>
    </row>
    <row r="17" spans="2:4">
      <c r="B17" t="s">
        <v>14</v>
      </c>
      <c r="C17">
        <v>176269533</v>
      </c>
      <c r="D17">
        <v>1370065.9244186</v>
      </c>
    </row>
    <row r="18" spans="2:4">
      <c r="B18" t="s">
        <v>12</v>
      </c>
      <c r="C18">
        <v>4531000.5</v>
      </c>
      <c r="D18">
        <v>453100.05</v>
      </c>
    </row>
    <row r="19" spans="1:4">
      <c r="A19">
        <v>19</v>
      </c>
      <c r="B19"/>
      <c r="C19">
        <v>983915409.85665</v>
      </c>
      <c r="D19">
        <v>17810866.5037846</v>
      </c>
    </row>
    <row r="20" spans="2:4">
      <c r="B20" t="s">
        <v>16</v>
      </c>
      <c r="C20">
        <v>43307155.5</v>
      </c>
      <c r="D20">
        <v>1202976.54166667</v>
      </c>
    </row>
    <row r="21" spans="2:4">
      <c r="B21" t="s">
        <v>11</v>
      </c>
      <c r="C21">
        <v>46366009.5</v>
      </c>
      <c r="D21">
        <v>1495677.72580645</v>
      </c>
    </row>
    <row r="22" spans="2:4">
      <c r="B22" t="s">
        <v>17</v>
      </c>
      <c r="C22">
        <v>20974521</v>
      </c>
      <c r="D22">
        <v>1018321.63928572</v>
      </c>
    </row>
    <row r="23" spans="2:4">
      <c r="B23" t="s">
        <v>10</v>
      </c>
      <c r="C23">
        <v>19479055.5</v>
      </c>
      <c r="D23">
        <v>947140.014285715</v>
      </c>
    </row>
    <row r="24" spans="2:4">
      <c r="B24" t="s">
        <v>20</v>
      </c>
      <c r="C24">
        <v>16391856</v>
      </c>
      <c r="D24">
        <v>862729.263157895</v>
      </c>
    </row>
    <row r="25" spans="2:4">
      <c r="B25" t="s">
        <v>22</v>
      </c>
      <c r="C25">
        <v>151642039.5</v>
      </c>
      <c r="D25">
        <v>2808185.91666667</v>
      </c>
    </row>
    <row r="26" spans="2:4">
      <c r="B26" t="s">
        <v>21</v>
      </c>
      <c r="C26">
        <v>159695760</v>
      </c>
      <c r="D26">
        <v>2706707.79661017</v>
      </c>
    </row>
    <row r="27" spans="2:4">
      <c r="B27" t="s">
        <v>13</v>
      </c>
      <c r="C27">
        <v>17149980</v>
      </c>
      <c r="D27">
        <v>902630.526315789</v>
      </c>
    </row>
    <row r="28" spans="2:4">
      <c r="B28" t="s">
        <v>23</v>
      </c>
      <c r="C28">
        <v>7253572.5</v>
      </c>
      <c r="D28">
        <v>483571.5</v>
      </c>
    </row>
    <row r="29" spans="2:4">
      <c r="B29" t="s">
        <v>18</v>
      </c>
      <c r="C29">
        <v>8778597</v>
      </c>
      <c r="D29">
        <v>585239.8</v>
      </c>
    </row>
    <row r="30" spans="2:4">
      <c r="B30" t="s">
        <v>19</v>
      </c>
      <c r="C30">
        <v>5892277.5</v>
      </c>
      <c r="D30">
        <v>392818.5</v>
      </c>
    </row>
    <row r="31" spans="2:4">
      <c r="B31" t="s">
        <v>15</v>
      </c>
      <c r="C31">
        <v>272762503.5</v>
      </c>
      <c r="D31">
        <v>2182100.028</v>
      </c>
    </row>
    <row r="32" spans="2:4">
      <c r="B32" t="s">
        <v>14</v>
      </c>
      <c r="C32">
        <v>208128393.85665</v>
      </c>
      <c r="D32">
        <v>1613398.40198954</v>
      </c>
    </row>
    <row r="33" spans="2:4">
      <c r="B33" t="s">
        <v>12</v>
      </c>
      <c r="C33">
        <v>6093688.5</v>
      </c>
      <c r="D33">
        <v>609368.85</v>
      </c>
    </row>
    <row r="34" spans="1:4">
      <c r="A34">
        <v>20</v>
      </c>
      <c r="C34">
        <v>947263006.72395</v>
      </c>
      <c r="D34">
        <v>17504431.2544996</v>
      </c>
    </row>
    <row r="35" spans="2:4">
      <c r="B35" t="s">
        <v>16</v>
      </c>
      <c r="C35">
        <v>41300679</v>
      </c>
      <c r="D35">
        <v>1147241.08333333</v>
      </c>
    </row>
    <row r="36" spans="2:4">
      <c r="B36" t="s">
        <v>11</v>
      </c>
      <c r="C36">
        <v>47079841.5</v>
      </c>
      <c r="D36">
        <v>1518704.56451613</v>
      </c>
    </row>
    <row r="37" spans="2:4">
      <c r="B37" t="s">
        <v>17</v>
      </c>
      <c r="C37">
        <v>23603355</v>
      </c>
      <c r="D37">
        <v>1123969.28571429</v>
      </c>
    </row>
    <row r="38" spans="2:4">
      <c r="B38" t="s">
        <v>10</v>
      </c>
      <c r="C38">
        <v>19724733</v>
      </c>
      <c r="D38">
        <v>939273</v>
      </c>
    </row>
    <row r="39" spans="2:4">
      <c r="B39" t="s">
        <v>20</v>
      </c>
      <c r="C39">
        <v>16732521</v>
      </c>
      <c r="D39">
        <v>880659</v>
      </c>
    </row>
    <row r="40" spans="2:4">
      <c r="B40" t="s">
        <v>22</v>
      </c>
      <c r="C40">
        <v>135813990</v>
      </c>
      <c r="D40">
        <v>2515073.88888889</v>
      </c>
    </row>
    <row r="41" spans="2:4">
      <c r="B41" t="s">
        <v>21</v>
      </c>
      <c r="C41">
        <v>142825023</v>
      </c>
      <c r="D41">
        <v>2380417.05</v>
      </c>
    </row>
    <row r="42" spans="2:4">
      <c r="B42" t="s">
        <v>13</v>
      </c>
      <c r="C42">
        <v>19963153.5</v>
      </c>
      <c r="D42">
        <v>1050692.28947368</v>
      </c>
    </row>
    <row r="43" spans="2:4">
      <c r="B43" t="s">
        <v>23</v>
      </c>
      <c r="C43">
        <v>7841920.5</v>
      </c>
      <c r="D43">
        <v>503225.55</v>
      </c>
    </row>
    <row r="44" spans="2:4">
      <c r="B44" t="s">
        <v>18</v>
      </c>
      <c r="C44">
        <v>9036316.5</v>
      </c>
      <c r="D44">
        <v>602421.1</v>
      </c>
    </row>
    <row r="45" spans="2:4">
      <c r="B45" t="s">
        <v>19</v>
      </c>
      <c r="C45">
        <v>7382458.5</v>
      </c>
      <c r="D45">
        <v>492163.9</v>
      </c>
    </row>
    <row r="46" spans="2:4">
      <c r="B46" t="s">
        <v>15</v>
      </c>
      <c r="C46">
        <v>269949999</v>
      </c>
      <c r="D46">
        <v>2159599.992</v>
      </c>
    </row>
    <row r="47" spans="2:4">
      <c r="B47" t="s">
        <v>14</v>
      </c>
      <c r="C47">
        <v>199569624.22395</v>
      </c>
      <c r="D47">
        <v>1547051.35057326</v>
      </c>
    </row>
    <row r="48" spans="2:4">
      <c r="B48" t="s">
        <v>12</v>
      </c>
      <c r="C48">
        <v>6439392</v>
      </c>
      <c r="D48">
        <v>643939.2</v>
      </c>
    </row>
    <row r="49" spans="1:4">
      <c r="A49">
        <v>21</v>
      </c>
      <c r="C49">
        <v>1002691883.0466</v>
      </c>
      <c r="D49">
        <v>18752594.736983</v>
      </c>
    </row>
    <row r="50" spans="2:4">
      <c r="B50" t="s">
        <v>16</v>
      </c>
      <c r="C50">
        <v>44172813</v>
      </c>
      <c r="D50">
        <v>1227022.58333333</v>
      </c>
    </row>
    <row r="51" spans="2:4">
      <c r="B51" t="s">
        <v>11</v>
      </c>
      <c r="C51">
        <v>49575288</v>
      </c>
      <c r="D51">
        <v>1599202.83870968</v>
      </c>
    </row>
    <row r="52" spans="2:4">
      <c r="B52" t="s">
        <v>17</v>
      </c>
      <c r="C52">
        <v>26815804.5</v>
      </c>
      <c r="D52">
        <v>1276943.07142857</v>
      </c>
    </row>
    <row r="53" spans="2:4">
      <c r="B53" t="s">
        <v>10</v>
      </c>
      <c r="C53">
        <v>20915751</v>
      </c>
      <c r="D53">
        <v>1002951.825</v>
      </c>
    </row>
    <row r="54" spans="2:4">
      <c r="B54" t="s">
        <v>20</v>
      </c>
      <c r="C54">
        <v>17647479</v>
      </c>
      <c r="D54">
        <v>928814.684210525</v>
      </c>
    </row>
    <row r="55" spans="2:4">
      <c r="B55" t="s">
        <v>22</v>
      </c>
      <c r="C55">
        <v>149589546</v>
      </c>
      <c r="D55">
        <v>2770176.77777778</v>
      </c>
    </row>
    <row r="56" spans="2:4">
      <c r="B56" t="s">
        <v>21</v>
      </c>
      <c r="C56">
        <v>157512358.5</v>
      </c>
      <c r="D56">
        <v>2625205.975</v>
      </c>
    </row>
    <row r="57" spans="2:4">
      <c r="B57" t="s">
        <v>13</v>
      </c>
      <c r="C57">
        <v>20713983</v>
      </c>
      <c r="D57">
        <v>1064643.61578947</v>
      </c>
    </row>
    <row r="58" spans="2:4">
      <c r="B58" t="s">
        <v>23</v>
      </c>
      <c r="C58">
        <v>8990269.5</v>
      </c>
      <c r="D58">
        <v>515667.981617647</v>
      </c>
    </row>
    <row r="59" spans="2:4">
      <c r="B59" t="s">
        <v>18</v>
      </c>
      <c r="C59">
        <v>10598445</v>
      </c>
      <c r="D59">
        <v>638295.529411765</v>
      </c>
    </row>
    <row r="60" spans="2:4">
      <c r="B60" t="s">
        <v>19</v>
      </c>
      <c r="C60">
        <v>8638525.5</v>
      </c>
      <c r="D60">
        <v>575901.7</v>
      </c>
    </row>
    <row r="61" spans="2:4">
      <c r="B61" t="s">
        <v>15</v>
      </c>
      <c r="C61">
        <v>275539431.57</v>
      </c>
      <c r="D61">
        <v>2204315.45256</v>
      </c>
    </row>
    <row r="62" spans="2:4">
      <c r="B62" t="s">
        <v>14</v>
      </c>
      <c r="C62">
        <v>204608809.4766</v>
      </c>
      <c r="D62">
        <v>1586114.80214419</v>
      </c>
    </row>
    <row r="63" spans="2:4">
      <c r="B63" t="s">
        <v>12</v>
      </c>
      <c r="C63">
        <v>7373379</v>
      </c>
      <c r="D63">
        <v>737337.9</v>
      </c>
    </row>
    <row r="64" spans="1:4">
      <c r="A64">
        <v>22</v>
      </c>
      <c r="C64">
        <v>1055653508.75385</v>
      </c>
      <c r="D64">
        <v>20458986.9163627</v>
      </c>
    </row>
    <row r="65" spans="2:4">
      <c r="B65" t="s">
        <v>16</v>
      </c>
      <c r="C65">
        <v>46485094.5</v>
      </c>
      <c r="D65">
        <v>1269533.73536036</v>
      </c>
    </row>
    <row r="66" spans="2:4">
      <c r="B66" t="s">
        <v>11</v>
      </c>
      <c r="C66">
        <v>50729185.5</v>
      </c>
      <c r="D66">
        <v>1636425.33870968</v>
      </c>
    </row>
    <row r="67" spans="2:4">
      <c r="B67" t="s">
        <v>17</v>
      </c>
      <c r="C67">
        <v>27495690</v>
      </c>
      <c r="D67">
        <v>1265812.71146245</v>
      </c>
    </row>
    <row r="68" spans="2:4">
      <c r="B68" t="s">
        <v>10</v>
      </c>
      <c r="C68">
        <v>22579281</v>
      </c>
      <c r="D68">
        <v>1120692.87142857</v>
      </c>
    </row>
    <row r="69" spans="2:4">
      <c r="B69" t="s">
        <v>20</v>
      </c>
      <c r="C69">
        <v>18595773</v>
      </c>
      <c r="D69">
        <v>923135.496428571</v>
      </c>
    </row>
    <row r="70" spans="2:4">
      <c r="B70" t="s">
        <v>22</v>
      </c>
      <c r="C70">
        <v>151451013</v>
      </c>
      <c r="D70">
        <v>2804648.38888889</v>
      </c>
    </row>
    <row r="71" spans="2:4">
      <c r="B71" t="s">
        <v>21</v>
      </c>
      <c r="C71">
        <v>157857214.5</v>
      </c>
      <c r="D71">
        <v>2669744.95381356</v>
      </c>
    </row>
    <row r="72" spans="2:4">
      <c r="B72" t="s">
        <v>13</v>
      </c>
      <c r="C72">
        <v>21605704.5</v>
      </c>
      <c r="D72">
        <v>1080285.225</v>
      </c>
    </row>
    <row r="73" spans="2:4">
      <c r="B73" t="s">
        <v>23</v>
      </c>
      <c r="C73">
        <v>9909624</v>
      </c>
      <c r="D73">
        <v>550534.666666667</v>
      </c>
    </row>
    <row r="74" spans="2:4">
      <c r="B74" t="s">
        <v>18</v>
      </c>
      <c r="C74">
        <v>11902053</v>
      </c>
      <c r="D74">
        <v>700120.764705882</v>
      </c>
    </row>
    <row r="75" spans="2:4">
      <c r="B75" t="s">
        <v>19</v>
      </c>
      <c r="C75">
        <v>9328845</v>
      </c>
      <c r="D75">
        <v>598028.6375</v>
      </c>
    </row>
    <row r="76" spans="2:4">
      <c r="B76" t="s">
        <v>9</v>
      </c>
      <c r="C76">
        <v>2706253.5</v>
      </c>
      <c r="D76">
        <v>180416.9</v>
      </c>
    </row>
    <row r="77" spans="2:4">
      <c r="B77" t="s">
        <v>15</v>
      </c>
      <c r="C77">
        <v>292155049.5</v>
      </c>
      <c r="D77">
        <v>2356089.10887097</v>
      </c>
    </row>
    <row r="78" spans="2:4">
      <c r="B78" t="s">
        <v>14</v>
      </c>
      <c r="C78">
        <v>219265928.75385</v>
      </c>
      <c r="D78">
        <v>1699735.88181279</v>
      </c>
    </row>
    <row r="79" spans="2:4">
      <c r="B79" t="s">
        <v>12</v>
      </c>
      <c r="C79">
        <v>7762362</v>
      </c>
      <c r="D79">
        <v>776236.2</v>
      </c>
    </row>
    <row r="80" spans="2:4">
      <c r="B80" t="s">
        <v>25</v>
      </c>
      <c r="C80">
        <v>493893</v>
      </c>
      <c r="D80">
        <v>54877</v>
      </c>
    </row>
    <row r="81" spans="2:4">
      <c r="B81" t="s">
        <v>24</v>
      </c>
      <c r="C81">
        <v>4861708.5</v>
      </c>
      <c r="D81">
        <v>694529.785714286</v>
      </c>
    </row>
    <row r="82" spans="2:4">
      <c r="B82" t="s">
        <v>26</v>
      </c>
      <c r="C82">
        <v>468835.5</v>
      </c>
      <c r="D82">
        <v>78139.25</v>
      </c>
    </row>
    <row r="83" spans="1:4">
      <c r="A83">
        <v>23</v>
      </c>
      <c r="C83">
        <v>136032376.68135</v>
      </c>
      <c r="D83">
        <v>2786041.43567661</v>
      </c>
    </row>
    <row r="84" spans="2:4">
      <c r="B84" t="s">
        <v>16</v>
      </c>
      <c r="C84">
        <v>5800290</v>
      </c>
      <c r="D84">
        <v>156764.594594595</v>
      </c>
    </row>
    <row r="85" spans="2:4">
      <c r="B85" t="s">
        <v>11</v>
      </c>
      <c r="C85">
        <v>6829921.5</v>
      </c>
      <c r="D85">
        <v>220320.048387097</v>
      </c>
    </row>
    <row r="86" spans="2:4">
      <c r="B86" t="s">
        <v>17</v>
      </c>
      <c r="C86">
        <v>3865251</v>
      </c>
      <c r="D86">
        <v>168054.391304348</v>
      </c>
    </row>
    <row r="87" spans="2:4">
      <c r="B87" t="s">
        <v>10</v>
      </c>
      <c r="C87">
        <v>2945035.5</v>
      </c>
      <c r="D87">
        <v>140239.785714286</v>
      </c>
    </row>
    <row r="88" spans="2:4">
      <c r="B88" t="s">
        <v>20</v>
      </c>
      <c r="C88">
        <v>2538967.5</v>
      </c>
      <c r="D88">
        <v>120903.214285714</v>
      </c>
    </row>
    <row r="89" spans="2:4">
      <c r="B89" t="s">
        <v>22</v>
      </c>
      <c r="C89">
        <v>18914194.5</v>
      </c>
      <c r="D89">
        <v>350262.861111111</v>
      </c>
    </row>
    <row r="90" spans="2:4">
      <c r="B90" t="s">
        <v>21</v>
      </c>
      <c r="C90">
        <v>19465372.5</v>
      </c>
      <c r="D90">
        <v>329921.56779661</v>
      </c>
    </row>
    <row r="91" spans="2:4">
      <c r="B91" t="s">
        <v>13</v>
      </c>
      <c r="C91">
        <v>3013512</v>
      </c>
      <c r="D91">
        <v>150675.6</v>
      </c>
    </row>
    <row r="92" spans="2:4">
      <c r="B92" t="s">
        <v>23</v>
      </c>
      <c r="C92">
        <v>1293219</v>
      </c>
      <c r="D92">
        <v>71845.5</v>
      </c>
    </row>
    <row r="93" spans="2:4">
      <c r="B93" t="s">
        <v>18</v>
      </c>
      <c r="C93">
        <v>1526608.5</v>
      </c>
      <c r="D93">
        <v>89800.5</v>
      </c>
    </row>
    <row r="94" spans="2:4">
      <c r="B94" t="s">
        <v>19</v>
      </c>
      <c r="C94">
        <v>1565632.5</v>
      </c>
      <c r="D94">
        <v>97852.03125</v>
      </c>
    </row>
    <row r="95" spans="2:4">
      <c r="B95" t="s">
        <v>9</v>
      </c>
      <c r="C95">
        <v>636345</v>
      </c>
      <c r="D95">
        <v>42423</v>
      </c>
    </row>
    <row r="96" spans="2:4">
      <c r="B96" t="s">
        <v>15</v>
      </c>
      <c r="C96">
        <v>37257840.18135</v>
      </c>
      <c r="D96">
        <v>302909.269767073</v>
      </c>
    </row>
    <row r="97" spans="2:4">
      <c r="B97" t="s">
        <v>14</v>
      </c>
      <c r="C97">
        <v>27770092.5</v>
      </c>
      <c r="D97">
        <v>216953.84765625</v>
      </c>
    </row>
    <row r="98" spans="2:4">
      <c r="B98" t="s">
        <v>12</v>
      </c>
      <c r="C98">
        <v>1007742</v>
      </c>
      <c r="D98">
        <v>100774.2</v>
      </c>
    </row>
    <row r="99" spans="2:4">
      <c r="B99" t="s">
        <v>25</v>
      </c>
      <c r="C99">
        <v>389013</v>
      </c>
      <c r="D99">
        <v>43223.6666666667</v>
      </c>
    </row>
    <row r="100" spans="2:4">
      <c r="B100" t="s">
        <v>24</v>
      </c>
      <c r="C100">
        <v>802447.5</v>
      </c>
      <c r="D100">
        <v>114635.357142857</v>
      </c>
    </row>
    <row r="101" spans="2:4">
      <c r="B101" t="s">
        <v>26</v>
      </c>
      <c r="C101">
        <v>410892</v>
      </c>
      <c r="D101">
        <v>68482</v>
      </c>
    </row>
    <row r="102" spans="1:4">
      <c r="A102" t="s">
        <v>29</v>
      </c>
      <c r="C102">
        <v>4962359217.0624</v>
      </c>
      <c r="D102">
        <v>92363110.3317277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E10" sqref="E10"/>
    </sheetView>
  </sheetViews>
  <sheetFormatPr defaultColWidth="8.88888888888889" defaultRowHeight="14.4"/>
  <cols>
    <col min="1" max="1" width="22.4444444444444" customWidth="1"/>
    <col min="2" max="2" width="28.5555555555556" customWidth="1"/>
    <col min="3" max="3" width="24.8888888888889" customWidth="1"/>
    <col min="4" max="4" width="12.8888888888889"/>
    <col min="7" max="7" width="12.2222222222222" customWidth="1"/>
    <col min="8" max="8" width="23" customWidth="1"/>
    <col min="9" max="9" width="31.2222222222222" customWidth="1"/>
    <col min="10" max="10" width="28.2222222222222" customWidth="1"/>
  </cols>
  <sheetData>
    <row r="1" spans="1:9">
      <c r="A1" s="10" t="s">
        <v>30</v>
      </c>
      <c r="B1" s="11"/>
      <c r="C1" s="11"/>
      <c r="D1" s="11"/>
      <c r="G1" s="10" t="s">
        <v>31</v>
      </c>
      <c r="H1" s="12"/>
      <c r="I1" s="12"/>
    </row>
    <row r="3" spans="1:9">
      <c r="A3" s="13" t="s">
        <v>1</v>
      </c>
      <c r="B3" s="13" t="s">
        <v>28</v>
      </c>
      <c r="C3" s="13" t="s">
        <v>27</v>
      </c>
      <c r="D3" s="14" t="s">
        <v>32</v>
      </c>
      <c r="G3" s="13" t="s">
        <v>8</v>
      </c>
      <c r="H3" s="13" t="s">
        <v>1</v>
      </c>
      <c r="I3" s="13" t="s">
        <v>28</v>
      </c>
    </row>
    <row r="4" spans="1:10">
      <c r="A4" s="15" t="s">
        <v>15</v>
      </c>
      <c r="B4" s="15">
        <v>11069486.467198</v>
      </c>
      <c r="C4" s="15">
        <v>1380723900.75135</v>
      </c>
      <c r="D4" s="16">
        <f>C4/$C$22</f>
        <v>0.278239409997551</v>
      </c>
      <c r="G4" s="17">
        <v>23</v>
      </c>
      <c r="H4" s="18" t="s">
        <v>22</v>
      </c>
      <c r="I4" s="18">
        <v>350262.861111111</v>
      </c>
      <c r="J4" s="20"/>
    </row>
    <row r="5" spans="1:10">
      <c r="A5" s="15" t="s">
        <v>14</v>
      </c>
      <c r="B5" s="15">
        <v>8033320.20859462</v>
      </c>
      <c r="C5" s="15">
        <v>1035612381.81105</v>
      </c>
      <c r="D5" s="16">
        <f>C5/$C$22</f>
        <v>0.208693554116404</v>
      </c>
      <c r="G5" s="17">
        <v>23</v>
      </c>
      <c r="H5" s="17" t="s">
        <v>21</v>
      </c>
      <c r="I5" s="17">
        <v>329921.56779661</v>
      </c>
      <c r="J5" s="20"/>
    </row>
    <row r="6" spans="1:10">
      <c r="A6" s="15" t="s">
        <v>21</v>
      </c>
      <c r="B6" s="15">
        <v>13030492.6822034</v>
      </c>
      <c r="C6" s="15">
        <v>774146953.5</v>
      </c>
      <c r="D6" s="16">
        <f>C6/$C$22</f>
        <v>0.156003811823659</v>
      </c>
      <c r="G6" s="17">
        <v>23</v>
      </c>
      <c r="H6" s="17" t="s">
        <v>15</v>
      </c>
      <c r="I6" s="17">
        <v>302909.269767073</v>
      </c>
      <c r="J6" s="20"/>
    </row>
    <row r="7" spans="1:10">
      <c r="A7" t="s">
        <v>22</v>
      </c>
      <c r="B7">
        <v>13668970.8888889</v>
      </c>
      <c r="C7">
        <v>738124428</v>
      </c>
      <c r="D7" s="19">
        <f>C7/$C$22</f>
        <v>0.148744658682116</v>
      </c>
      <c r="G7" s="20">
        <v>23</v>
      </c>
      <c r="H7" s="20" t="s">
        <v>11</v>
      </c>
      <c r="I7" s="20">
        <v>220320.048387097</v>
      </c>
      <c r="J7" s="20"/>
    </row>
    <row r="8" spans="1:10">
      <c r="A8" t="s">
        <v>11</v>
      </c>
      <c r="B8">
        <v>7851903.33870968</v>
      </c>
      <c r="C8">
        <v>243409003.5</v>
      </c>
      <c r="D8" s="19">
        <f>C8/$C$22</f>
        <v>0.0490510647965732</v>
      </c>
      <c r="G8" s="20">
        <v>23</v>
      </c>
      <c r="H8" s="20" t="s">
        <v>14</v>
      </c>
      <c r="I8" s="20">
        <v>216953.84765625</v>
      </c>
      <c r="J8" s="20"/>
    </row>
    <row r="9" spans="1:10">
      <c r="A9" t="s">
        <v>16</v>
      </c>
      <c r="B9">
        <v>6029485.62162162</v>
      </c>
      <c r="C9">
        <v>218000127</v>
      </c>
      <c r="D9" s="19">
        <f>C9/$C$22</f>
        <v>0.0439307429116449</v>
      </c>
      <c r="G9" s="20">
        <v>23</v>
      </c>
      <c r="H9" s="20" t="s">
        <v>17</v>
      </c>
      <c r="I9" s="20">
        <v>168054.391304348</v>
      </c>
      <c r="J9" s="20"/>
    </row>
    <row r="10" spans="1:10">
      <c r="A10" t="s">
        <v>17</v>
      </c>
      <c r="B10">
        <v>5758962.38866906</v>
      </c>
      <c r="C10">
        <v>120582837</v>
      </c>
      <c r="D10" s="19">
        <f>C10/$C$22</f>
        <v>0.0242994978246219</v>
      </c>
      <c r="G10" s="20">
        <v>23</v>
      </c>
      <c r="H10" s="20" t="s">
        <v>16</v>
      </c>
      <c r="I10" s="20">
        <v>156764.594594595</v>
      </c>
      <c r="J10" s="20"/>
    </row>
    <row r="11" spans="1:10">
      <c r="A11" t="s">
        <v>10</v>
      </c>
      <c r="B11">
        <v>5019070.52976191</v>
      </c>
      <c r="C11">
        <v>101673535.5</v>
      </c>
      <c r="D11" s="19">
        <f>C11/$C$22</f>
        <v>0.020488951132439</v>
      </c>
      <c r="G11" s="20">
        <v>23</v>
      </c>
      <c r="H11" s="20" t="s">
        <v>13</v>
      </c>
      <c r="I11" s="20">
        <v>150675.6</v>
      </c>
      <c r="J11" s="20"/>
    </row>
    <row r="12" spans="1:10">
      <c r="A12" t="s">
        <v>13</v>
      </c>
      <c r="B12">
        <v>4961061.73697111</v>
      </c>
      <c r="C12">
        <v>95592298.5</v>
      </c>
      <c r="D12" s="19">
        <f>C12/$C$22</f>
        <v>0.0192634781801605</v>
      </c>
      <c r="G12" s="20">
        <v>23</v>
      </c>
      <c r="H12" s="20" t="s">
        <v>10</v>
      </c>
      <c r="I12" s="20">
        <v>140239.785714286</v>
      </c>
      <c r="J12" s="20"/>
    </row>
    <row r="13" spans="1:10">
      <c r="A13" t="s">
        <v>20</v>
      </c>
      <c r="B13">
        <v>4464328.54843358</v>
      </c>
      <c r="C13">
        <v>85862581.5</v>
      </c>
      <c r="D13" s="19">
        <f>C13/$C$22</f>
        <v>0.0173027742942859</v>
      </c>
      <c r="G13" s="20">
        <v>23</v>
      </c>
      <c r="H13" s="20" t="s">
        <v>20</v>
      </c>
      <c r="I13" s="20">
        <v>120903.214285714</v>
      </c>
      <c r="J13" s="20"/>
    </row>
    <row r="14" spans="1:10">
      <c r="A14" t="s">
        <v>18</v>
      </c>
      <c r="B14">
        <v>3079945.69411765</v>
      </c>
      <c r="C14">
        <v>48803040</v>
      </c>
      <c r="D14" s="19">
        <f>C14/$C$22</f>
        <v>0.00983464474562772</v>
      </c>
      <c r="G14" s="20">
        <v>23</v>
      </c>
      <c r="H14" s="20" t="s">
        <v>24</v>
      </c>
      <c r="I14" s="20">
        <v>114635.357142857</v>
      </c>
      <c r="J14" s="20"/>
    </row>
    <row r="15" spans="1:10">
      <c r="A15" t="s">
        <v>23</v>
      </c>
      <c r="B15">
        <v>2507913.49828431</v>
      </c>
      <c r="C15">
        <v>41034630</v>
      </c>
      <c r="D15" s="19">
        <f>C15/$C$22</f>
        <v>0.00826917766430693</v>
      </c>
      <c r="G15" s="20">
        <v>23</v>
      </c>
      <c r="H15" s="20" t="s">
        <v>12</v>
      </c>
      <c r="I15" s="20">
        <v>100774.2</v>
      </c>
      <c r="J15" s="20"/>
    </row>
    <row r="16" spans="1:10">
      <c r="A16" t="s">
        <v>19</v>
      </c>
      <c r="B16">
        <v>2290685.36875</v>
      </c>
      <c r="C16">
        <v>34816548</v>
      </c>
      <c r="D16" s="19">
        <f>C16/$C$22</f>
        <v>0.00701612811105815</v>
      </c>
      <c r="G16" s="20">
        <v>23</v>
      </c>
      <c r="H16" s="20" t="s">
        <v>19</v>
      </c>
      <c r="I16" s="20">
        <v>97852.03125</v>
      </c>
      <c r="J16" s="20"/>
    </row>
    <row r="17" spans="1:10">
      <c r="A17" t="s">
        <v>12</v>
      </c>
      <c r="B17">
        <v>3320756.4</v>
      </c>
      <c r="C17">
        <v>33207564</v>
      </c>
      <c r="D17" s="19">
        <f>C17/$C$22</f>
        <v>0.0066918903987886</v>
      </c>
      <c r="G17" s="20">
        <v>23</v>
      </c>
      <c r="H17" s="20" t="s">
        <v>18</v>
      </c>
      <c r="I17" s="20">
        <v>89800.5</v>
      </c>
      <c r="J17" s="20"/>
    </row>
    <row r="18" spans="1:10">
      <c r="A18" t="s">
        <v>24</v>
      </c>
      <c r="B18">
        <v>809165.142857143</v>
      </c>
      <c r="C18">
        <v>5664156</v>
      </c>
      <c r="D18" s="19">
        <f>C18/$C$22</f>
        <v>0.00114142401874588</v>
      </c>
      <c r="G18" s="20">
        <v>23</v>
      </c>
      <c r="H18" s="20" t="s">
        <v>23</v>
      </c>
      <c r="I18" s="20">
        <v>71845.5</v>
      </c>
      <c r="J18" s="20"/>
    </row>
    <row r="19" spans="1:10">
      <c r="A19" t="s">
        <v>9</v>
      </c>
      <c r="B19">
        <v>222839.9</v>
      </c>
      <c r="C19">
        <v>3342598.5</v>
      </c>
      <c r="D19" s="19">
        <f>C19/$C$22</f>
        <v>0.000673590595478644</v>
      </c>
      <c r="G19" s="20">
        <v>23</v>
      </c>
      <c r="H19" s="21" t="s">
        <v>26</v>
      </c>
      <c r="I19" s="21">
        <v>68482</v>
      </c>
      <c r="J19" s="20"/>
    </row>
    <row r="20" spans="1:10">
      <c r="A20" t="s">
        <v>25</v>
      </c>
      <c r="B20">
        <v>98100.6666666667</v>
      </c>
      <c r="C20">
        <v>882906</v>
      </c>
      <c r="D20" s="19">
        <f>C20/$C$22</f>
        <v>0.000177920614244178</v>
      </c>
      <c r="G20" s="20">
        <v>23</v>
      </c>
      <c r="H20" s="20" t="s">
        <v>25</v>
      </c>
      <c r="I20" s="20">
        <v>43223.6666666667</v>
      </c>
      <c r="J20" s="20"/>
    </row>
    <row r="21" spans="1:9">
      <c r="A21" t="s">
        <v>26</v>
      </c>
      <c r="B21">
        <v>146621.25</v>
      </c>
      <c r="C21">
        <v>879727.5</v>
      </c>
      <c r="D21" s="19">
        <f>C21/$C$22</f>
        <v>0.000177280092294644</v>
      </c>
      <c r="G21" s="20">
        <v>23</v>
      </c>
      <c r="H21" s="22" t="s">
        <v>9</v>
      </c>
      <c r="I21" s="22">
        <v>42423</v>
      </c>
    </row>
    <row r="22" spans="1:9">
      <c r="A22" s="13" t="s">
        <v>29</v>
      </c>
      <c r="B22" s="13">
        <v>92363110.3317277</v>
      </c>
      <c r="C22" s="13">
        <v>4962359217.0624</v>
      </c>
      <c r="D22" s="23">
        <f>C22/$C$22</f>
        <v>1</v>
      </c>
      <c r="H22" s="13" t="s">
        <v>29</v>
      </c>
      <c r="I22" s="24">
        <f>SUM(I4:I21)</f>
        <v>2786041.43567661</v>
      </c>
    </row>
  </sheetData>
  <sortState ref="G4:I21">
    <sortCondition ref="I4:I21" descending="1"/>
  </sortState>
  <mergeCells count="2">
    <mergeCell ref="A1:D1"/>
    <mergeCell ref="G1:I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B17" sqref="B17"/>
    </sheetView>
  </sheetViews>
  <sheetFormatPr defaultColWidth="8.88888888888889" defaultRowHeight="14.4" outlineLevelCol="6"/>
  <cols>
    <col min="1" max="1" width="24" customWidth="1"/>
    <col min="2" max="2" width="28.2222222222222" customWidth="1"/>
    <col min="3" max="3" width="24.7777777777778" customWidth="1"/>
    <col min="5" max="5" width="26.8888888888889"/>
    <col min="6" max="7" width="30.4444444444444"/>
  </cols>
  <sheetData>
    <row r="1" spans="1:7">
      <c r="A1" t="s">
        <v>8</v>
      </c>
      <c r="B1" t="s">
        <v>28</v>
      </c>
      <c r="C1" t="s">
        <v>27</v>
      </c>
      <c r="E1" s="1"/>
      <c r="F1" s="2"/>
      <c r="G1" s="3"/>
    </row>
    <row r="2" spans="1:7">
      <c r="A2">
        <v>18</v>
      </c>
      <c r="B2">
        <v>15050189.4844213</v>
      </c>
      <c r="C2">
        <v>836803032</v>
      </c>
      <c r="E2" s="4"/>
      <c r="F2" s="5"/>
      <c r="G2" s="6"/>
    </row>
    <row r="3" spans="1:7">
      <c r="A3">
        <v>19</v>
      </c>
      <c r="B3">
        <v>17810866.5037846</v>
      </c>
      <c r="C3">
        <v>983915409.85665</v>
      </c>
      <c r="E3" s="4"/>
      <c r="F3" s="5"/>
      <c r="G3" s="6"/>
    </row>
    <row r="4" spans="1:7">
      <c r="A4">
        <v>20</v>
      </c>
      <c r="B4">
        <v>17504431.2544996</v>
      </c>
      <c r="C4">
        <v>947263006.72395</v>
      </c>
      <c r="E4" s="4"/>
      <c r="F4" s="5"/>
      <c r="G4" s="6"/>
    </row>
    <row r="5" spans="1:7">
      <c r="A5">
        <v>21</v>
      </c>
      <c r="B5">
        <v>18752594.736983</v>
      </c>
      <c r="C5">
        <v>1002691883.0466</v>
      </c>
      <c r="E5" s="4"/>
      <c r="F5" s="5"/>
      <c r="G5" s="6"/>
    </row>
    <row r="6" spans="1:7">
      <c r="A6">
        <v>22</v>
      </c>
      <c r="B6">
        <v>20458986.9163627</v>
      </c>
      <c r="C6">
        <v>1055653508.75385</v>
      </c>
      <c r="E6" s="4"/>
      <c r="F6" s="5"/>
      <c r="G6" s="6"/>
    </row>
    <row r="7" spans="1:7">
      <c r="A7">
        <v>23</v>
      </c>
      <c r="B7">
        <v>2786041.43567661</v>
      </c>
      <c r="C7">
        <v>136032376.68135</v>
      </c>
      <c r="E7" s="4"/>
      <c r="F7" s="5"/>
      <c r="G7" s="6"/>
    </row>
    <row r="8" spans="1:7">
      <c r="A8" t="s">
        <v>29</v>
      </c>
      <c r="B8">
        <v>92363110.3317277</v>
      </c>
      <c r="C8">
        <v>4962359217.0624</v>
      </c>
      <c r="E8" s="4"/>
      <c r="F8" s="5"/>
      <c r="G8" s="6"/>
    </row>
    <row r="9" spans="5:7">
      <c r="E9" s="4"/>
      <c r="F9" s="5"/>
      <c r="G9" s="6"/>
    </row>
    <row r="10" spans="5:7">
      <c r="E10" s="4"/>
      <c r="F10" s="5"/>
      <c r="G10" s="6"/>
    </row>
    <row r="11" spans="5:7">
      <c r="E11" s="4"/>
      <c r="F11" s="5"/>
      <c r="G11" s="6"/>
    </row>
    <row r="12" spans="5:7">
      <c r="E12" s="4"/>
      <c r="F12" s="5"/>
      <c r="G12" s="6"/>
    </row>
    <row r="13" spans="5:7">
      <c r="E13" s="4"/>
      <c r="F13" s="5"/>
      <c r="G13" s="6"/>
    </row>
    <row r="14" spans="5:7">
      <c r="E14" s="4"/>
      <c r="F14" s="5"/>
      <c r="G14" s="6"/>
    </row>
    <row r="15" spans="5:7">
      <c r="E15" s="4"/>
      <c r="F15" s="5"/>
      <c r="G15" s="6"/>
    </row>
    <row r="16" spans="5:7">
      <c r="E16" s="4"/>
      <c r="F16" s="5"/>
      <c r="G16" s="6"/>
    </row>
    <row r="17" spans="5:7">
      <c r="E17" s="4"/>
      <c r="F17" s="5"/>
      <c r="G17" s="6"/>
    </row>
    <row r="18" spans="5:7">
      <c r="E18" s="7"/>
      <c r="F18" s="8"/>
      <c r="G18" s="9"/>
    </row>
  </sheetData>
  <pageMargins left="0.75" right="0.75" top="1" bottom="1" header="0.5" footer="0.5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1.1</vt:lpstr>
      <vt:lpstr>1.1a</vt:lpstr>
      <vt:lpstr>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Amina Abdiraman</cp:lastModifiedBy>
  <dcterms:created xsi:type="dcterms:W3CDTF">2021-09-13T10:17:00Z</dcterms:created>
  <dcterms:modified xsi:type="dcterms:W3CDTF">2025-12-01T10:48:08Z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AF95EA7DEBC44E0785DCE42A6EF5F562_13</vt:lpwstr>
  </property>
  <property fmtid="{D5CDD505-2E9C-101B-9397-08002B2CF9AE}" pid="3" name="KSOProductBuildVer">
    <vt:lpwstr>1049-12.2.0.23155</vt:lpwstr>
  </property>
</Properties>
</file>